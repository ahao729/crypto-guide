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投计划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'定投计划'!$A$1:$L$25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00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1F2937"/>
      <sz val="16"/>
    </font>
    <font>
      <name val="Microsoft YaHei"/>
      <color rgb="006B7280"/>
      <sz val="9"/>
    </font>
    <font>
      <name val="Microsoft YaHei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F7F3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1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26" customWidth="1" min="12" max="12"/>
  </cols>
  <sheetData>
    <row r="1">
      <c r="A1" s="1" t="inlineStr">
        <is>
          <t>日期</t>
        </is>
      </c>
      <c r="B1" s="1" t="inlineStr">
        <is>
          <t>币种</t>
        </is>
      </c>
      <c r="C1" s="1" t="inlineStr">
        <is>
          <t>计划金额(USDT)</t>
        </is>
      </c>
      <c r="D1" s="1" t="inlineStr">
        <is>
          <t>买入价(USDT)</t>
        </is>
      </c>
      <c r="E1" s="1" t="inlineStr">
        <is>
          <t>买入数量</t>
        </is>
      </c>
      <c r="F1" s="1" t="inlineStr">
        <is>
          <t>累计投入</t>
        </is>
      </c>
      <c r="G1" s="1" t="inlineStr">
        <is>
          <t>累计数量</t>
        </is>
      </c>
      <c r="H1" s="1" t="inlineStr">
        <is>
          <t>平均成本</t>
        </is>
      </c>
      <c r="I1" s="1" t="inlineStr">
        <is>
          <t>当前价格</t>
        </is>
      </c>
      <c r="J1" s="1" t="inlineStr">
        <is>
          <t>当前价值</t>
        </is>
      </c>
      <c r="K1" s="1" t="inlineStr">
        <is>
          <t>浮动盈亏</t>
        </is>
      </c>
      <c r="L1" s="1" t="inlineStr">
        <is>
          <t>备注</t>
        </is>
      </c>
    </row>
    <row r="2">
      <c r="A2" s="2" t="n">
        <v>46023</v>
      </c>
      <c r="B2" s="3" t="inlineStr">
        <is>
          <t>BTC</t>
        </is>
      </c>
      <c r="C2" s="4" t="n">
        <v>500</v>
      </c>
      <c r="D2" s="4" t="n">
        <v>55500</v>
      </c>
      <c r="E2" s="5">
        <f>IFERROR(C2/D2,"")</f>
        <v/>
      </c>
      <c r="F2" s="4">
        <f>SUM($C$2:C2)</f>
        <v/>
      </c>
      <c r="G2" s="5">
        <f>SUM($E$2:E2)</f>
        <v/>
      </c>
      <c r="H2" s="4">
        <f>IFERROR(F2/G2,"")</f>
        <v/>
      </c>
      <c r="I2" s="4" t="n">
        <v>65000</v>
      </c>
      <c r="J2" s="4">
        <f>IFERROR(G2*I2,"")</f>
        <v/>
      </c>
      <c r="K2" s="4">
        <f>IFERROR(J2-F2,"")</f>
        <v/>
      </c>
      <c r="L2" s="3" t="inlineStr">
        <is>
          <t>示例价格，仅演示公式</t>
        </is>
      </c>
    </row>
    <row r="3">
      <c r="A3" s="2" t="n">
        <v>46054</v>
      </c>
      <c r="B3" s="3" t="inlineStr">
        <is>
          <t>BTC</t>
        </is>
      </c>
      <c r="C3" s="4" t="n">
        <v>500</v>
      </c>
      <c r="D3" s="4" t="n">
        <v>57000</v>
      </c>
      <c r="E3" s="5">
        <f>IFERROR(C3/D3,"")</f>
        <v/>
      </c>
      <c r="F3" s="4">
        <f>SUM($C$2:C3)</f>
        <v/>
      </c>
      <c r="G3" s="5">
        <f>SUM($E$2:E3)</f>
        <v/>
      </c>
      <c r="H3" s="4">
        <f>IFERROR(F3/G3,"")</f>
        <v/>
      </c>
      <c r="I3" s="4" t="n">
        <v>65000</v>
      </c>
      <c r="J3" s="4">
        <f>IFERROR(G3*I3,"")</f>
        <v/>
      </c>
      <c r="K3" s="4">
        <f>IFERROR(J3-F3,"")</f>
        <v/>
      </c>
      <c r="L3" s="3" t="inlineStr">
        <is>
          <t>示例价格，仅演示公式</t>
        </is>
      </c>
    </row>
    <row r="4">
      <c r="A4" s="2" t="n">
        <v>46082</v>
      </c>
      <c r="B4" s="3" t="inlineStr">
        <is>
          <t>BTC</t>
        </is>
      </c>
      <c r="C4" s="4" t="n">
        <v>500</v>
      </c>
      <c r="D4" s="4" t="n">
        <v>58500</v>
      </c>
      <c r="E4" s="5">
        <f>IFERROR(C4/D4,"")</f>
        <v/>
      </c>
      <c r="F4" s="4">
        <f>SUM($C$2:C4)</f>
        <v/>
      </c>
      <c r="G4" s="5">
        <f>SUM($E$2:E4)</f>
        <v/>
      </c>
      <c r="H4" s="4">
        <f>IFERROR(F4/G4,"")</f>
        <v/>
      </c>
      <c r="I4" s="4" t="n">
        <v>65000</v>
      </c>
      <c r="J4" s="4">
        <f>IFERROR(G4*I4,"")</f>
        <v/>
      </c>
      <c r="K4" s="4">
        <f>IFERROR(J4-F4,"")</f>
        <v/>
      </c>
      <c r="L4" s="3" t="inlineStr">
        <is>
          <t>示例价格，仅演示公式</t>
        </is>
      </c>
    </row>
    <row r="5">
      <c r="A5" s="2" t="n">
        <v>46113</v>
      </c>
      <c r="B5" s="3" t="inlineStr">
        <is>
          <t>BTC</t>
        </is>
      </c>
      <c r="C5" s="4" t="n">
        <v>500</v>
      </c>
      <c r="D5" s="4" t="n">
        <v>60000</v>
      </c>
      <c r="E5" s="5">
        <f>IFERROR(C5/D5,"")</f>
        <v/>
      </c>
      <c r="F5" s="4">
        <f>SUM($C$2:C5)</f>
        <v/>
      </c>
      <c r="G5" s="5">
        <f>SUM($E$2:E5)</f>
        <v/>
      </c>
      <c r="H5" s="4">
        <f>IFERROR(F5/G5,"")</f>
        <v/>
      </c>
      <c r="I5" s="4" t="n">
        <v>65000</v>
      </c>
      <c r="J5" s="4">
        <f>IFERROR(G5*I5,"")</f>
        <v/>
      </c>
      <c r="K5" s="4">
        <f>IFERROR(J5-F5,"")</f>
        <v/>
      </c>
      <c r="L5" s="3" t="inlineStr">
        <is>
          <t>示例价格，仅演示公式</t>
        </is>
      </c>
    </row>
    <row r="6">
      <c r="A6" s="2" t="n">
        <v>46143</v>
      </c>
      <c r="B6" s="3" t="inlineStr">
        <is>
          <t>BTC</t>
        </is>
      </c>
      <c r="C6" s="4" t="n">
        <v>500</v>
      </c>
      <c r="D6" s="4" t="n">
        <v>61500</v>
      </c>
      <c r="E6" s="5">
        <f>IFERROR(C6/D6,"")</f>
        <v/>
      </c>
      <c r="F6" s="4">
        <f>SUM($C$2:C6)</f>
        <v/>
      </c>
      <c r="G6" s="5">
        <f>SUM($E$2:E6)</f>
        <v/>
      </c>
      <c r="H6" s="4">
        <f>IFERROR(F6/G6,"")</f>
        <v/>
      </c>
      <c r="I6" s="4" t="n">
        <v>65000</v>
      </c>
      <c r="J6" s="4">
        <f>IFERROR(G6*I6,"")</f>
        <v/>
      </c>
      <c r="K6" s="4">
        <f>IFERROR(J6-F6,"")</f>
        <v/>
      </c>
      <c r="L6" s="3" t="inlineStr">
        <is>
          <t>示例价格，仅演示公式</t>
        </is>
      </c>
    </row>
    <row r="7">
      <c r="A7" s="2" t="n">
        <v>46174</v>
      </c>
      <c r="B7" s="3" t="inlineStr">
        <is>
          <t>BTC</t>
        </is>
      </c>
      <c r="C7" s="4" t="n">
        <v>500</v>
      </c>
      <c r="D7" s="4" t="n">
        <v>63000</v>
      </c>
      <c r="E7" s="5">
        <f>IFERROR(C7/D7,"")</f>
        <v/>
      </c>
      <c r="F7" s="4">
        <f>SUM($C$2:C7)</f>
        <v/>
      </c>
      <c r="G7" s="5">
        <f>SUM($E$2:E7)</f>
        <v/>
      </c>
      <c r="H7" s="4">
        <f>IFERROR(F7/G7,"")</f>
        <v/>
      </c>
      <c r="I7" s="4" t="n">
        <v>65000</v>
      </c>
      <c r="J7" s="4">
        <f>IFERROR(G7*I7,"")</f>
        <v/>
      </c>
      <c r="K7" s="4">
        <f>IFERROR(J7-F7,"")</f>
        <v/>
      </c>
      <c r="L7" s="3" t="inlineStr">
        <is>
          <t>示例价格，仅演示公式</t>
        </is>
      </c>
    </row>
    <row r="8">
      <c r="A8" s="2" t="n">
        <v>46204</v>
      </c>
      <c r="B8" s="3" t="inlineStr">
        <is>
          <t>BTC</t>
        </is>
      </c>
      <c r="C8" s="4" t="n">
        <v>500</v>
      </c>
      <c r="D8" s="4" t="n">
        <v>55500</v>
      </c>
      <c r="E8" s="5">
        <f>IFERROR(C8/D8,"")</f>
        <v/>
      </c>
      <c r="F8" s="4">
        <f>SUM($C$2:C8)</f>
        <v/>
      </c>
      <c r="G8" s="5">
        <f>SUM($E$2:E8)</f>
        <v/>
      </c>
      <c r="H8" s="4">
        <f>IFERROR(F8/G8,"")</f>
        <v/>
      </c>
      <c r="I8" s="4" t="n">
        <v>65000</v>
      </c>
      <c r="J8" s="4">
        <f>IFERROR(G8*I8,"")</f>
        <v/>
      </c>
      <c r="K8" s="4">
        <f>IFERROR(J8-F8,"")</f>
        <v/>
      </c>
      <c r="L8" s="3" t="inlineStr">
        <is>
          <t>示例价格，仅演示公式</t>
        </is>
      </c>
    </row>
    <row r="9">
      <c r="A9" s="2" t="n">
        <v>46235</v>
      </c>
      <c r="B9" s="3" t="inlineStr">
        <is>
          <t>BTC</t>
        </is>
      </c>
      <c r="C9" s="4" t="n">
        <v>500</v>
      </c>
      <c r="D9" s="4" t="n">
        <v>57000</v>
      </c>
      <c r="E9" s="5">
        <f>IFERROR(C9/D9,"")</f>
        <v/>
      </c>
      <c r="F9" s="4">
        <f>SUM($C$2:C9)</f>
        <v/>
      </c>
      <c r="G9" s="5">
        <f>SUM($E$2:E9)</f>
        <v/>
      </c>
      <c r="H9" s="4">
        <f>IFERROR(F9/G9,"")</f>
        <v/>
      </c>
      <c r="I9" s="4" t="n">
        <v>65000</v>
      </c>
      <c r="J9" s="4">
        <f>IFERROR(G9*I9,"")</f>
        <v/>
      </c>
      <c r="K9" s="4">
        <f>IFERROR(J9-F9,"")</f>
        <v/>
      </c>
      <c r="L9" s="3" t="inlineStr">
        <is>
          <t>示例价格，仅演示公式</t>
        </is>
      </c>
    </row>
    <row r="10">
      <c r="A10" s="2" t="n">
        <v>46266</v>
      </c>
      <c r="B10" s="3" t="inlineStr">
        <is>
          <t>BTC</t>
        </is>
      </c>
      <c r="C10" s="4" t="n">
        <v>500</v>
      </c>
      <c r="D10" s="4" t="n">
        <v>58500</v>
      </c>
      <c r="E10" s="5">
        <f>IFERROR(C10/D10,"")</f>
        <v/>
      </c>
      <c r="F10" s="4">
        <f>SUM($C$2:C10)</f>
        <v/>
      </c>
      <c r="G10" s="5">
        <f>SUM($E$2:E10)</f>
        <v/>
      </c>
      <c r="H10" s="4">
        <f>IFERROR(F10/G10,"")</f>
        <v/>
      </c>
      <c r="I10" s="4" t="n">
        <v>65000</v>
      </c>
      <c r="J10" s="4">
        <f>IFERROR(G10*I10,"")</f>
        <v/>
      </c>
      <c r="K10" s="4">
        <f>IFERROR(J10-F10,"")</f>
        <v/>
      </c>
      <c r="L10" s="3" t="inlineStr">
        <is>
          <t>示例价格，仅演示公式</t>
        </is>
      </c>
    </row>
    <row r="11">
      <c r="A11" s="2" t="n">
        <v>46296</v>
      </c>
      <c r="B11" s="3" t="inlineStr">
        <is>
          <t>BTC</t>
        </is>
      </c>
      <c r="C11" s="4" t="n">
        <v>500</v>
      </c>
      <c r="D11" s="4" t="n">
        <v>60000</v>
      </c>
      <c r="E11" s="5">
        <f>IFERROR(C11/D11,"")</f>
        <v/>
      </c>
      <c r="F11" s="4">
        <f>SUM($C$2:C11)</f>
        <v/>
      </c>
      <c r="G11" s="5">
        <f>SUM($E$2:E11)</f>
        <v/>
      </c>
      <c r="H11" s="4">
        <f>IFERROR(F11/G11,"")</f>
        <v/>
      </c>
      <c r="I11" s="4" t="n">
        <v>65000</v>
      </c>
      <c r="J11" s="4">
        <f>IFERROR(G11*I11,"")</f>
        <v/>
      </c>
      <c r="K11" s="4">
        <f>IFERROR(J11-F11,"")</f>
        <v/>
      </c>
      <c r="L11" s="3" t="inlineStr">
        <is>
          <t>示例价格，仅演示公式</t>
        </is>
      </c>
    </row>
    <row r="12">
      <c r="A12" s="2" t="n">
        <v>46327</v>
      </c>
      <c r="B12" s="3" t="inlineStr">
        <is>
          <t>BTC</t>
        </is>
      </c>
      <c r="C12" s="4" t="n">
        <v>500</v>
      </c>
      <c r="D12" s="4" t="n">
        <v>61500</v>
      </c>
      <c r="E12" s="5">
        <f>IFERROR(C12/D12,"")</f>
        <v/>
      </c>
      <c r="F12" s="4">
        <f>SUM($C$2:C12)</f>
        <v/>
      </c>
      <c r="G12" s="5">
        <f>SUM($E$2:E12)</f>
        <v/>
      </c>
      <c r="H12" s="4">
        <f>IFERROR(F12/G12,"")</f>
        <v/>
      </c>
      <c r="I12" s="4" t="n">
        <v>65000</v>
      </c>
      <c r="J12" s="4">
        <f>IFERROR(G12*I12,"")</f>
        <v/>
      </c>
      <c r="K12" s="4">
        <f>IFERROR(J12-F12,"")</f>
        <v/>
      </c>
      <c r="L12" s="3" t="inlineStr">
        <is>
          <t>示例价格，仅演示公式</t>
        </is>
      </c>
    </row>
    <row r="13">
      <c r="A13" s="2" t="n">
        <v>46357</v>
      </c>
      <c r="B13" s="3" t="inlineStr">
        <is>
          <t>BTC</t>
        </is>
      </c>
      <c r="C13" s="4" t="n">
        <v>500</v>
      </c>
      <c r="D13" s="4" t="n">
        <v>63000</v>
      </c>
      <c r="E13" s="5">
        <f>IFERROR(C13/D13,"")</f>
        <v/>
      </c>
      <c r="F13" s="4">
        <f>SUM($C$2:C13)</f>
        <v/>
      </c>
      <c r="G13" s="5">
        <f>SUM($E$2:E13)</f>
        <v/>
      </c>
      <c r="H13" s="4">
        <f>IFERROR(F13/G13,"")</f>
        <v/>
      </c>
      <c r="I13" s="4" t="n">
        <v>65000</v>
      </c>
      <c r="J13" s="4">
        <f>IFERROR(G13*I13,"")</f>
        <v/>
      </c>
      <c r="K13" s="4">
        <f>IFERROR(J13-F13,"")</f>
        <v/>
      </c>
      <c r="L13" s="3" t="inlineStr">
        <is>
          <t>示例价格，仅演示公式</t>
        </is>
      </c>
    </row>
    <row r="14">
      <c r="A14" s="2" t="n">
        <v>46388</v>
      </c>
      <c r="B14" s="3" t="inlineStr">
        <is>
          <t>BTC</t>
        </is>
      </c>
      <c r="C14" s="4" t="n">
        <v>500</v>
      </c>
      <c r="D14" s="4" t="n">
        <v>55500</v>
      </c>
      <c r="E14" s="5">
        <f>IFERROR(C14/D14,"")</f>
        <v/>
      </c>
      <c r="F14" s="4">
        <f>SUM($C$2:C14)</f>
        <v/>
      </c>
      <c r="G14" s="5">
        <f>SUM($E$2:E14)</f>
        <v/>
      </c>
      <c r="H14" s="4">
        <f>IFERROR(F14/G14,"")</f>
        <v/>
      </c>
      <c r="I14" s="4" t="n">
        <v>65000</v>
      </c>
      <c r="J14" s="4">
        <f>IFERROR(G14*I14,"")</f>
        <v/>
      </c>
      <c r="K14" s="4">
        <f>IFERROR(J14-F14,"")</f>
        <v/>
      </c>
      <c r="L14" s="3" t="inlineStr">
        <is>
          <t>示例价格，仅演示公式</t>
        </is>
      </c>
    </row>
    <row r="15">
      <c r="A15" s="2" t="n">
        <v>46419</v>
      </c>
      <c r="B15" s="3" t="inlineStr">
        <is>
          <t>BTC</t>
        </is>
      </c>
      <c r="C15" s="4" t="n">
        <v>500</v>
      </c>
      <c r="D15" s="4" t="n">
        <v>57000</v>
      </c>
      <c r="E15" s="5">
        <f>IFERROR(C15/D15,"")</f>
        <v/>
      </c>
      <c r="F15" s="4">
        <f>SUM($C$2:C15)</f>
        <v/>
      </c>
      <c r="G15" s="5">
        <f>SUM($E$2:E15)</f>
        <v/>
      </c>
      <c r="H15" s="4">
        <f>IFERROR(F15/G15,"")</f>
        <v/>
      </c>
      <c r="I15" s="4" t="n">
        <v>65000</v>
      </c>
      <c r="J15" s="4">
        <f>IFERROR(G15*I15,"")</f>
        <v/>
      </c>
      <c r="K15" s="4">
        <f>IFERROR(J15-F15,"")</f>
        <v/>
      </c>
      <c r="L15" s="3" t="inlineStr">
        <is>
          <t>示例价格，仅演示公式</t>
        </is>
      </c>
    </row>
    <row r="16">
      <c r="A16" s="2" t="n">
        <v>46447</v>
      </c>
      <c r="B16" s="3" t="inlineStr">
        <is>
          <t>BTC</t>
        </is>
      </c>
      <c r="C16" s="4" t="n">
        <v>500</v>
      </c>
      <c r="D16" s="4" t="n">
        <v>58500</v>
      </c>
      <c r="E16" s="5">
        <f>IFERROR(C16/D16,"")</f>
        <v/>
      </c>
      <c r="F16" s="4">
        <f>SUM($C$2:C16)</f>
        <v/>
      </c>
      <c r="G16" s="5">
        <f>SUM($E$2:E16)</f>
        <v/>
      </c>
      <c r="H16" s="4">
        <f>IFERROR(F16/G16,"")</f>
        <v/>
      </c>
      <c r="I16" s="4" t="n">
        <v>65000</v>
      </c>
      <c r="J16" s="4">
        <f>IFERROR(G16*I16,"")</f>
        <v/>
      </c>
      <c r="K16" s="4">
        <f>IFERROR(J16-F16,"")</f>
        <v/>
      </c>
      <c r="L16" s="3" t="inlineStr">
        <is>
          <t>示例价格，仅演示公式</t>
        </is>
      </c>
    </row>
    <row r="17">
      <c r="A17" s="2" t="n">
        <v>46478</v>
      </c>
      <c r="B17" s="3" t="inlineStr">
        <is>
          <t>BTC</t>
        </is>
      </c>
      <c r="C17" s="4" t="n">
        <v>500</v>
      </c>
      <c r="D17" s="4" t="n">
        <v>60000</v>
      </c>
      <c r="E17" s="5">
        <f>IFERROR(C17/D17,"")</f>
        <v/>
      </c>
      <c r="F17" s="4">
        <f>SUM($C$2:C17)</f>
        <v/>
      </c>
      <c r="G17" s="5">
        <f>SUM($E$2:E17)</f>
        <v/>
      </c>
      <c r="H17" s="4">
        <f>IFERROR(F17/G17,"")</f>
        <v/>
      </c>
      <c r="I17" s="4" t="n">
        <v>65000</v>
      </c>
      <c r="J17" s="4">
        <f>IFERROR(G17*I17,"")</f>
        <v/>
      </c>
      <c r="K17" s="4">
        <f>IFERROR(J17-F17,"")</f>
        <v/>
      </c>
      <c r="L17" s="3" t="inlineStr">
        <is>
          <t>示例价格，仅演示公式</t>
        </is>
      </c>
    </row>
    <row r="18">
      <c r="A18" s="2" t="n">
        <v>46508</v>
      </c>
      <c r="B18" s="3" t="inlineStr">
        <is>
          <t>BTC</t>
        </is>
      </c>
      <c r="C18" s="4" t="n">
        <v>500</v>
      </c>
      <c r="D18" s="4" t="n">
        <v>61500</v>
      </c>
      <c r="E18" s="5">
        <f>IFERROR(C18/D18,"")</f>
        <v/>
      </c>
      <c r="F18" s="4">
        <f>SUM($C$2:C18)</f>
        <v/>
      </c>
      <c r="G18" s="5">
        <f>SUM($E$2:E18)</f>
        <v/>
      </c>
      <c r="H18" s="4">
        <f>IFERROR(F18/G18,"")</f>
        <v/>
      </c>
      <c r="I18" s="4" t="n">
        <v>65000</v>
      </c>
      <c r="J18" s="4">
        <f>IFERROR(G18*I18,"")</f>
        <v/>
      </c>
      <c r="K18" s="4">
        <f>IFERROR(J18-F18,"")</f>
        <v/>
      </c>
      <c r="L18" s="3" t="inlineStr">
        <is>
          <t>示例价格，仅演示公式</t>
        </is>
      </c>
    </row>
    <row r="19">
      <c r="A19" s="2" t="n">
        <v>46539</v>
      </c>
      <c r="B19" s="3" t="inlineStr">
        <is>
          <t>BTC</t>
        </is>
      </c>
      <c r="C19" s="4" t="n">
        <v>500</v>
      </c>
      <c r="D19" s="4" t="n">
        <v>63000</v>
      </c>
      <c r="E19" s="5">
        <f>IFERROR(C19/D19,"")</f>
        <v/>
      </c>
      <c r="F19" s="4">
        <f>SUM($C$2:C19)</f>
        <v/>
      </c>
      <c r="G19" s="5">
        <f>SUM($E$2:E19)</f>
        <v/>
      </c>
      <c r="H19" s="4">
        <f>IFERROR(F19/G19,"")</f>
        <v/>
      </c>
      <c r="I19" s="4" t="n">
        <v>65000</v>
      </c>
      <c r="J19" s="4">
        <f>IFERROR(G19*I19,"")</f>
        <v/>
      </c>
      <c r="K19" s="4">
        <f>IFERROR(J19-F19,"")</f>
        <v/>
      </c>
      <c r="L19" s="3" t="inlineStr">
        <is>
          <t>示例价格，仅演示公式</t>
        </is>
      </c>
    </row>
    <row r="20">
      <c r="A20" s="2" t="n">
        <v>46569</v>
      </c>
      <c r="B20" s="3" t="inlineStr">
        <is>
          <t>BTC</t>
        </is>
      </c>
      <c r="C20" s="4" t="n">
        <v>500</v>
      </c>
      <c r="D20" s="4" t="n">
        <v>55500</v>
      </c>
      <c r="E20" s="5">
        <f>IFERROR(C20/D20,"")</f>
        <v/>
      </c>
      <c r="F20" s="4">
        <f>SUM($C$2:C20)</f>
        <v/>
      </c>
      <c r="G20" s="5">
        <f>SUM($E$2:E20)</f>
        <v/>
      </c>
      <c r="H20" s="4">
        <f>IFERROR(F20/G20,"")</f>
        <v/>
      </c>
      <c r="I20" s="4" t="n">
        <v>65000</v>
      </c>
      <c r="J20" s="4">
        <f>IFERROR(G20*I20,"")</f>
        <v/>
      </c>
      <c r="K20" s="4">
        <f>IFERROR(J20-F20,"")</f>
        <v/>
      </c>
      <c r="L20" s="3" t="inlineStr">
        <is>
          <t>示例价格，仅演示公式</t>
        </is>
      </c>
    </row>
    <row r="21">
      <c r="A21" s="2" t="n">
        <v>46600</v>
      </c>
      <c r="B21" s="3" t="inlineStr">
        <is>
          <t>BTC</t>
        </is>
      </c>
      <c r="C21" s="4" t="n">
        <v>500</v>
      </c>
      <c r="D21" s="4" t="n">
        <v>57000</v>
      </c>
      <c r="E21" s="5">
        <f>IFERROR(C21/D21,"")</f>
        <v/>
      </c>
      <c r="F21" s="4">
        <f>SUM($C$2:C21)</f>
        <v/>
      </c>
      <c r="G21" s="5">
        <f>SUM($E$2:E21)</f>
        <v/>
      </c>
      <c r="H21" s="4">
        <f>IFERROR(F21/G21,"")</f>
        <v/>
      </c>
      <c r="I21" s="4" t="n">
        <v>65000</v>
      </c>
      <c r="J21" s="4">
        <f>IFERROR(G21*I21,"")</f>
        <v/>
      </c>
      <c r="K21" s="4">
        <f>IFERROR(J21-F21,"")</f>
        <v/>
      </c>
      <c r="L21" s="3" t="inlineStr">
        <is>
          <t>示例价格，仅演示公式</t>
        </is>
      </c>
    </row>
    <row r="22">
      <c r="A22" s="2" t="n">
        <v>46631</v>
      </c>
      <c r="B22" s="3" t="inlineStr">
        <is>
          <t>BTC</t>
        </is>
      </c>
      <c r="C22" s="4" t="n">
        <v>500</v>
      </c>
      <c r="D22" s="4" t="n">
        <v>58500</v>
      </c>
      <c r="E22" s="5">
        <f>IFERROR(C22/D22,"")</f>
        <v/>
      </c>
      <c r="F22" s="4">
        <f>SUM($C$2:C22)</f>
        <v/>
      </c>
      <c r="G22" s="5">
        <f>SUM($E$2:E22)</f>
        <v/>
      </c>
      <c r="H22" s="4">
        <f>IFERROR(F22/G22,"")</f>
        <v/>
      </c>
      <c r="I22" s="4" t="n">
        <v>65000</v>
      </c>
      <c r="J22" s="4">
        <f>IFERROR(G22*I22,"")</f>
        <v/>
      </c>
      <c r="K22" s="4">
        <f>IFERROR(J22-F22,"")</f>
        <v/>
      </c>
      <c r="L22" s="3" t="inlineStr">
        <is>
          <t>示例价格，仅演示公式</t>
        </is>
      </c>
    </row>
    <row r="23">
      <c r="A23" s="2" t="n">
        <v>46661</v>
      </c>
      <c r="B23" s="3" t="inlineStr">
        <is>
          <t>BTC</t>
        </is>
      </c>
      <c r="C23" s="4" t="n">
        <v>500</v>
      </c>
      <c r="D23" s="4" t="n">
        <v>60000</v>
      </c>
      <c r="E23" s="5">
        <f>IFERROR(C23/D23,"")</f>
        <v/>
      </c>
      <c r="F23" s="4">
        <f>SUM($C$2:C23)</f>
        <v/>
      </c>
      <c r="G23" s="5">
        <f>SUM($E$2:E23)</f>
        <v/>
      </c>
      <c r="H23" s="4">
        <f>IFERROR(F23/G23,"")</f>
        <v/>
      </c>
      <c r="I23" s="4" t="n">
        <v>65000</v>
      </c>
      <c r="J23" s="4">
        <f>IFERROR(G23*I23,"")</f>
        <v/>
      </c>
      <c r="K23" s="4">
        <f>IFERROR(J23-F23,"")</f>
        <v/>
      </c>
      <c r="L23" s="3" t="inlineStr">
        <is>
          <t>示例价格，仅演示公式</t>
        </is>
      </c>
    </row>
    <row r="24">
      <c r="A24" s="2" t="n">
        <v>46692</v>
      </c>
      <c r="B24" s="3" t="inlineStr">
        <is>
          <t>BTC</t>
        </is>
      </c>
      <c r="C24" s="4" t="n">
        <v>500</v>
      </c>
      <c r="D24" s="4" t="n">
        <v>61500</v>
      </c>
      <c r="E24" s="5">
        <f>IFERROR(C24/D24,"")</f>
        <v/>
      </c>
      <c r="F24" s="4">
        <f>SUM($C$2:C24)</f>
        <v/>
      </c>
      <c r="G24" s="5">
        <f>SUM($E$2:E24)</f>
        <v/>
      </c>
      <c r="H24" s="4">
        <f>IFERROR(F24/G24,"")</f>
        <v/>
      </c>
      <c r="I24" s="4" t="n">
        <v>65000</v>
      </c>
      <c r="J24" s="4">
        <f>IFERROR(G24*I24,"")</f>
        <v/>
      </c>
      <c r="K24" s="4">
        <f>IFERROR(J24-F24,"")</f>
        <v/>
      </c>
      <c r="L24" s="3" t="inlineStr">
        <is>
          <t>示例价格，仅演示公式</t>
        </is>
      </c>
    </row>
    <row r="25">
      <c r="A25" s="2" t="n">
        <v>46722</v>
      </c>
      <c r="B25" s="3" t="inlineStr">
        <is>
          <t>BTC</t>
        </is>
      </c>
      <c r="C25" s="4" t="n">
        <v>500</v>
      </c>
      <c r="D25" s="4" t="n">
        <v>63000</v>
      </c>
      <c r="E25" s="5">
        <f>IFERROR(C25/D25,"")</f>
        <v/>
      </c>
      <c r="F25" s="4">
        <f>SUM($C$2:C25)</f>
        <v/>
      </c>
      <c r="G25" s="5">
        <f>SUM($E$2:E25)</f>
        <v/>
      </c>
      <c r="H25" s="4">
        <f>IFERROR(F25/G25,"")</f>
        <v/>
      </c>
      <c r="I25" s="4" t="n">
        <v>65000</v>
      </c>
      <c r="J25" s="4">
        <f>IFERROR(G25*I25,"")</f>
        <v/>
      </c>
      <c r="K25" s="4">
        <f>IFERROR(J25-F25,"")</f>
        <v/>
      </c>
      <c r="L25" s="3" t="inlineStr">
        <is>
          <t>示例价格，仅演示公式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6" t="inlineStr">
        <is>
          <t>定投汇总</t>
        </is>
      </c>
    </row>
    <row r="2">
      <c r="A2" s="7" t="inlineStr">
        <is>
          <t>修改“定投计划”里的买入价/当前价格后自动更新。</t>
        </is>
      </c>
    </row>
    <row r="3">
      <c r="A3" s="8" t="inlineStr">
        <is>
          <t>累计投入 (USDT)</t>
        </is>
      </c>
      <c r="B3" s="4">
        <f>SUM('定投计划'!C2:C25)</f>
        <v/>
      </c>
    </row>
    <row r="4">
      <c r="A4" s="8" t="inlineStr">
        <is>
          <t>累计买入数量</t>
        </is>
      </c>
      <c r="B4" s="5">
        <f>SUM('定投计划'!E2:E25)</f>
        <v/>
      </c>
    </row>
    <row r="5">
      <c r="A5" s="8" t="inlineStr">
        <is>
          <t>平均成本</t>
        </is>
      </c>
      <c r="B5" s="4">
        <f>IFERROR(B3/B4,0)</f>
        <v/>
      </c>
    </row>
    <row r="6">
      <c r="A6" s="8" t="inlineStr">
        <is>
          <t>当前总价值</t>
        </is>
      </c>
      <c r="B6" s="4">
        <f>'定投计划'!J25</f>
        <v/>
      </c>
    </row>
    <row r="7">
      <c r="A7" s="8" t="inlineStr">
        <is>
          <t>浮动盈亏</t>
        </is>
      </c>
      <c r="B7" s="4">
        <f>'定投计划'!K25</f>
        <v/>
      </c>
    </row>
    <row r="8">
      <c r="A8" s="8" t="inlineStr">
        <is>
          <t>当前收益率</t>
        </is>
      </c>
      <c r="B8" s="9">
        <f>IFERROR(B7/B3,0)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DCA 定投计划模板 · 使用说明</t>
        </is>
      </c>
    </row>
    <row r="2">
      <c r="A2" s="7" t="inlineStr">
        <is>
          <t>最后更新：2026-10-22 · 币圈指南</t>
        </is>
      </c>
    </row>
    <row r="4" ht="22" customHeight="1">
      <c r="A4" s="10" t="inlineStr">
        <is>
          <t>1. 在“定投计划”表填写每次定投日期、金额和实际买入价；买入数量自动计算。</t>
        </is>
      </c>
    </row>
    <row r="5" ht="22" customHeight="1">
      <c r="A5" s="10" t="inlineStr">
        <is>
          <t>2. 当前价格只需填最后一行，前面行可留空；当前价值和浮动盈亏会自动计算。</t>
        </is>
      </c>
    </row>
    <row r="6" ht="22" customHeight="1">
      <c r="A6" s="10" t="inlineStr">
        <is>
          <t>3. 累计投入、累计数量、平均成本会自动滚动汇总。</t>
        </is>
      </c>
    </row>
    <row r="7" ht="22" customHeight="1">
      <c r="A7" s="10" t="inlineStr">
        <is>
          <t>4. 建议固定周期（每周/每月）和固定金额，避免情绪化加仓。</t>
        </is>
      </c>
    </row>
    <row r="8" ht="22" customHeight="1">
      <c r="A8" s="10" t="inlineStr">
        <is>
          <t>5. 只使用闲钱；不要借贷或使用生活必需资金定投。</t>
        </is>
      </c>
    </row>
    <row r="9" ht="22" customHeight="1">
      <c r="A9" s="10" t="inlineStr">
        <is>
          <t>6. 本表不构成投资建议，历史定投表现不代表未来收益。</t>
        </is>
      </c>
    </row>
    <row r="11">
      <c r="A11" s="11" t="inlineStr">
        <is>
          <t>风险提示：模板仅用于记录与计算，不构成投资建议。加密资产价格波动较大，请自行承担风险。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2026-10-21T19:21:25Z</dcterms:created>
  <dcterms:modified xmlns:dcterms="http://purl.org/dc/terms/" xmlns:xsi="http://www.w3.org/2001/XMLSchema-instance" xsi:type="dcterms:W3CDTF">2026-10-21T19:21:25Z</dcterms:modified>
</cp:coreProperties>
</file>