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'交易记录'!$A$1:$P$101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F2937"/>
      <sz val="16"/>
    </font>
    <font>
      <name val="Microsoft YaHei"/>
      <color rgb="006B7280"/>
      <sz val="9"/>
    </font>
    <font>
      <name val="Microsoft YaHei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F7F3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2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4" customWidth="1" min="10" max="10"/>
    <col width="10" customWidth="1" min="11" max="11"/>
    <col width="14" customWidth="1" min="12" max="12"/>
    <col width="12" customWidth="1" min="13" max="13"/>
    <col width="12" customWidth="1" min="14" max="14"/>
    <col width="8" customWidth="1" min="15" max="15"/>
    <col width="26" customWidth="1" min="16" max="16"/>
  </cols>
  <sheetData>
    <row r="1">
      <c r="A1" s="1" t="inlineStr">
        <is>
          <t>日期</t>
        </is>
      </c>
      <c r="B1" s="1" t="inlineStr">
        <is>
          <t>交易所</t>
        </is>
      </c>
      <c r="C1" s="1" t="inlineStr">
        <is>
          <t>交易对</t>
        </is>
      </c>
      <c r="D1" s="1" t="inlineStr">
        <is>
          <t>方向</t>
        </is>
      </c>
      <c r="E1" s="1" t="inlineStr">
        <is>
          <t>策略</t>
        </is>
      </c>
      <c r="F1" s="1" t="inlineStr">
        <is>
          <t>入场价</t>
        </is>
      </c>
      <c r="G1" s="1" t="inlineStr">
        <is>
          <t>出场价</t>
        </is>
      </c>
      <c r="H1" s="1" t="inlineStr">
        <is>
          <t>数量</t>
        </is>
      </c>
      <c r="I1" s="1" t="inlineStr">
        <is>
          <t>手续费</t>
        </is>
      </c>
      <c r="J1" s="1" t="inlineStr">
        <is>
          <t>已实现盈亏</t>
        </is>
      </c>
      <c r="K1" s="1" t="inlineStr">
        <is>
          <t>收益率</t>
        </is>
      </c>
      <c r="L1" s="1" t="inlineStr">
        <is>
          <t>持仓时长(小时)</t>
        </is>
      </c>
      <c r="M1" s="1" t="inlineStr">
        <is>
          <t>止损价</t>
        </is>
      </c>
      <c r="N1" s="1" t="inlineStr">
        <is>
          <t>止盈价</t>
        </is>
      </c>
      <c r="O1" s="1" t="inlineStr">
        <is>
          <t>情绪</t>
        </is>
      </c>
      <c r="P1" s="1" t="inlineStr">
        <is>
          <t>备注</t>
        </is>
      </c>
    </row>
    <row r="2">
      <c r="A2" s="2" t="n">
        <v>46296</v>
      </c>
      <c r="B2" s="3" t="inlineStr">
        <is>
          <t>Binance</t>
        </is>
      </c>
      <c r="C2" s="3" t="inlineStr">
        <is>
          <t>BTC/USDT</t>
        </is>
      </c>
      <c r="D2" s="4" t="inlineStr">
        <is>
          <t>做多</t>
        </is>
      </c>
      <c r="E2" s="3" t="inlineStr">
        <is>
          <t>突破</t>
        </is>
      </c>
      <c r="F2" s="5" t="n">
        <v>60000</v>
      </c>
      <c r="G2" s="5" t="n">
        <v>61500</v>
      </c>
      <c r="H2" s="6" t="n">
        <v>0.05</v>
      </c>
      <c r="I2" s="5" t="n">
        <v>3</v>
      </c>
      <c r="J2" s="5">
        <f>IF(D2="做多",(G2-F2)*H2,(F2-G2)*H2)-I2</f>
        <v/>
      </c>
      <c r="K2" s="7">
        <f>IFERROR(J2/(F2*H2),0)</f>
        <v/>
      </c>
      <c r="L2" s="4" t="n">
        <v>6</v>
      </c>
      <c r="M2" s="5" t="n">
        <v>58200</v>
      </c>
      <c r="N2" s="5" t="n">
        <v>63600</v>
      </c>
      <c r="O2" s="4" t="inlineStr">
        <is>
          <t>冷静</t>
        </is>
      </c>
      <c r="P2" s="3" t="inlineStr">
        <is>
          <t>示例数据，可删除</t>
        </is>
      </c>
    </row>
    <row r="3">
      <c r="A3" s="2" t="n">
        <v>46303</v>
      </c>
      <c r="B3" s="3" t="inlineStr">
        <is>
          <t>OKX</t>
        </is>
      </c>
      <c r="C3" s="3" t="inlineStr">
        <is>
          <t>ETH/USDT</t>
        </is>
      </c>
      <c r="D3" s="4" t="inlineStr">
        <is>
          <t>做空</t>
        </is>
      </c>
      <c r="E3" s="3" t="inlineStr">
        <is>
          <t>区间</t>
        </is>
      </c>
      <c r="F3" s="5" t="n">
        <v>2500</v>
      </c>
      <c r="G3" s="5" t="n">
        <v>2420</v>
      </c>
      <c r="H3" s="6" t="n">
        <v>1.2</v>
      </c>
      <c r="I3" s="5" t="n">
        <v>2.5</v>
      </c>
      <c r="J3" s="5">
        <f>IF(D3="做多",(G3-F3)*H3,(F3-G3)*H3)-I3</f>
        <v/>
      </c>
      <c r="K3" s="7">
        <f>IFERROR(J3/(F3*H3),0)</f>
        <v/>
      </c>
      <c r="L3" s="4" t="n">
        <v>6</v>
      </c>
      <c r="M3" s="5" t="n">
        <v>2425</v>
      </c>
      <c r="N3" s="5" t="n">
        <v>2650</v>
      </c>
      <c r="O3" s="4" t="inlineStr">
        <is>
          <t>冷静</t>
        </is>
      </c>
      <c r="P3" s="3" t="inlineStr">
        <is>
          <t>示例数据，可删除</t>
        </is>
      </c>
    </row>
    <row r="4">
      <c r="A4" s="2" t="n">
        <v>46310</v>
      </c>
      <c r="B4" s="3" t="inlineStr">
        <is>
          <t>Bybit</t>
        </is>
      </c>
      <c r="C4" s="3" t="inlineStr">
        <is>
          <t>SOL/USDT</t>
        </is>
      </c>
      <c r="D4" s="4" t="inlineStr">
        <is>
          <t>做多</t>
        </is>
      </c>
      <c r="E4" s="3" t="inlineStr">
        <is>
          <t>回调</t>
        </is>
      </c>
      <c r="F4" s="5" t="n">
        <v>145</v>
      </c>
      <c r="G4" s="5" t="n">
        <v>151</v>
      </c>
      <c r="H4" s="6" t="n">
        <v>20</v>
      </c>
      <c r="I4" s="5" t="n">
        <v>4</v>
      </c>
      <c r="J4" s="5">
        <f>IF(D4="做多",(G4-F4)*H4,(F4-G4)*H4)-I4</f>
        <v/>
      </c>
      <c r="K4" s="7">
        <f>IFERROR(J4/(F4*H4),0)</f>
        <v/>
      </c>
      <c r="L4" s="4" t="n">
        <v>6</v>
      </c>
      <c r="M4" s="5" t="n">
        <v>140.65</v>
      </c>
      <c r="N4" s="5" t="n">
        <v>153.7</v>
      </c>
      <c r="O4" s="4" t="inlineStr">
        <is>
          <t>冷静</t>
        </is>
      </c>
      <c r="P4" s="3" t="inlineStr">
        <is>
          <t>示例数据，可删除</t>
        </is>
      </c>
    </row>
    <row r="5">
      <c r="A5" s="2" t="n"/>
      <c r="B5" s="3" t="n"/>
      <c r="C5" s="3" t="n"/>
      <c r="D5" s="4" t="n"/>
      <c r="E5" s="3" t="n"/>
      <c r="F5" s="5" t="n"/>
      <c r="G5" s="5" t="n"/>
      <c r="H5" s="6" t="n"/>
      <c r="I5" s="5" t="n"/>
      <c r="J5" s="5">
        <f>IF(OR(F5="",G5="",H5=""),"",IF(D5="做多",(G5-F5)*H5,(F5-G5)*H5)-I5)</f>
        <v/>
      </c>
      <c r="K5" s="7">
        <f>IFERROR(J5/(F5*H5),"")</f>
        <v/>
      </c>
      <c r="L5" s="4" t="n"/>
      <c r="M5" s="5" t="n"/>
      <c r="N5" s="5" t="n"/>
      <c r="O5" s="4" t="n"/>
      <c r="P5" s="3" t="n"/>
    </row>
    <row r="6">
      <c r="A6" s="2" t="n"/>
      <c r="B6" s="3" t="n"/>
      <c r="C6" s="3" t="n"/>
      <c r="D6" s="4" t="n"/>
      <c r="E6" s="3" t="n"/>
      <c r="F6" s="5" t="n"/>
      <c r="G6" s="5" t="n"/>
      <c r="H6" s="6" t="n"/>
      <c r="I6" s="5" t="n"/>
      <c r="J6" s="5">
        <f>IF(OR(F6="",G6="",H6=""),"",IF(D6="做多",(G6-F6)*H6,(F6-G6)*H6)-I6)</f>
        <v/>
      </c>
      <c r="K6" s="7">
        <f>IFERROR(J6/(F6*H6),"")</f>
        <v/>
      </c>
      <c r="L6" s="4" t="n"/>
      <c r="M6" s="5" t="n"/>
      <c r="N6" s="5" t="n"/>
      <c r="O6" s="4" t="n"/>
      <c r="P6" s="3" t="n"/>
    </row>
    <row r="7">
      <c r="A7" s="2" t="n"/>
      <c r="B7" s="3" t="n"/>
      <c r="C7" s="3" t="n"/>
      <c r="D7" s="4" t="n"/>
      <c r="E7" s="3" t="n"/>
      <c r="F7" s="5" t="n"/>
      <c r="G7" s="5" t="n"/>
      <c r="H7" s="6" t="n"/>
      <c r="I7" s="5" t="n"/>
      <c r="J7" s="5">
        <f>IF(OR(F7="",G7="",H7=""),"",IF(D7="做多",(G7-F7)*H7,(F7-G7)*H7)-I7)</f>
        <v/>
      </c>
      <c r="K7" s="7">
        <f>IFERROR(J7/(F7*H7),"")</f>
        <v/>
      </c>
      <c r="L7" s="4" t="n"/>
      <c r="M7" s="5" t="n"/>
      <c r="N7" s="5" t="n"/>
      <c r="O7" s="4" t="n"/>
      <c r="P7" s="3" t="n"/>
    </row>
    <row r="8">
      <c r="A8" s="2" t="n"/>
      <c r="B8" s="3" t="n"/>
      <c r="C8" s="3" t="n"/>
      <c r="D8" s="4" t="n"/>
      <c r="E8" s="3" t="n"/>
      <c r="F8" s="5" t="n"/>
      <c r="G8" s="5" t="n"/>
      <c r="H8" s="6" t="n"/>
      <c r="I8" s="5" t="n"/>
      <c r="J8" s="5">
        <f>IF(OR(F8="",G8="",H8=""),"",IF(D8="做多",(G8-F8)*H8,(F8-G8)*H8)-I8)</f>
        <v/>
      </c>
      <c r="K8" s="7">
        <f>IFERROR(J8/(F8*H8),"")</f>
        <v/>
      </c>
      <c r="L8" s="4" t="n"/>
      <c r="M8" s="5" t="n"/>
      <c r="N8" s="5" t="n"/>
      <c r="O8" s="4" t="n"/>
      <c r="P8" s="3" t="n"/>
    </row>
    <row r="9">
      <c r="A9" s="2" t="n"/>
      <c r="B9" s="3" t="n"/>
      <c r="C9" s="3" t="n"/>
      <c r="D9" s="4" t="n"/>
      <c r="E9" s="3" t="n"/>
      <c r="F9" s="5" t="n"/>
      <c r="G9" s="5" t="n"/>
      <c r="H9" s="6" t="n"/>
      <c r="I9" s="5" t="n"/>
      <c r="J9" s="5">
        <f>IF(OR(F9="",G9="",H9=""),"",IF(D9="做多",(G9-F9)*H9,(F9-G9)*H9)-I9)</f>
        <v/>
      </c>
      <c r="K9" s="7">
        <f>IFERROR(J9/(F9*H9),"")</f>
        <v/>
      </c>
      <c r="L9" s="4" t="n"/>
      <c r="M9" s="5" t="n"/>
      <c r="N9" s="5" t="n"/>
      <c r="O9" s="4" t="n"/>
      <c r="P9" s="3" t="n"/>
    </row>
    <row r="10">
      <c r="A10" s="2" t="n"/>
      <c r="B10" s="3" t="n"/>
      <c r="C10" s="3" t="n"/>
      <c r="D10" s="4" t="n"/>
      <c r="E10" s="3" t="n"/>
      <c r="F10" s="5" t="n"/>
      <c r="G10" s="5" t="n"/>
      <c r="H10" s="6" t="n"/>
      <c r="I10" s="5" t="n"/>
      <c r="J10" s="5">
        <f>IF(OR(F10="",G10="",H10=""),"",IF(D10="做多",(G10-F10)*H10,(F10-G10)*H10)-I10)</f>
        <v/>
      </c>
      <c r="K10" s="7">
        <f>IFERROR(J10/(F10*H10),"")</f>
        <v/>
      </c>
      <c r="L10" s="4" t="n"/>
      <c r="M10" s="5" t="n"/>
      <c r="N10" s="5" t="n"/>
      <c r="O10" s="4" t="n"/>
      <c r="P10" s="3" t="n"/>
    </row>
    <row r="11">
      <c r="A11" s="2" t="n"/>
      <c r="B11" s="3" t="n"/>
      <c r="C11" s="3" t="n"/>
      <c r="D11" s="4" t="n"/>
      <c r="E11" s="3" t="n"/>
      <c r="F11" s="5" t="n"/>
      <c r="G11" s="5" t="n"/>
      <c r="H11" s="6" t="n"/>
      <c r="I11" s="5" t="n"/>
      <c r="J11" s="5">
        <f>IF(OR(F11="",G11="",H11=""),"",IF(D11="做多",(G11-F11)*H11,(F11-G11)*H11)-I11)</f>
        <v/>
      </c>
      <c r="K11" s="7">
        <f>IFERROR(J11/(F11*H11),"")</f>
        <v/>
      </c>
      <c r="L11" s="4" t="n"/>
      <c r="M11" s="5" t="n"/>
      <c r="N11" s="5" t="n"/>
      <c r="O11" s="4" t="n"/>
      <c r="P11" s="3" t="n"/>
    </row>
    <row r="12">
      <c r="A12" s="2" t="n"/>
      <c r="B12" s="3" t="n"/>
      <c r="C12" s="3" t="n"/>
      <c r="D12" s="4" t="n"/>
      <c r="E12" s="3" t="n"/>
      <c r="F12" s="5" t="n"/>
      <c r="G12" s="5" t="n"/>
      <c r="H12" s="6" t="n"/>
      <c r="I12" s="5" t="n"/>
      <c r="J12" s="5">
        <f>IF(OR(F12="",G12="",H12=""),"",IF(D12="做多",(G12-F12)*H12,(F12-G12)*H12)-I12)</f>
        <v/>
      </c>
      <c r="K12" s="7">
        <f>IFERROR(J12/(F12*H12),"")</f>
        <v/>
      </c>
      <c r="L12" s="4" t="n"/>
      <c r="M12" s="5" t="n"/>
      <c r="N12" s="5" t="n"/>
      <c r="O12" s="4" t="n"/>
      <c r="P12" s="3" t="n"/>
    </row>
    <row r="13">
      <c r="A13" s="2" t="n"/>
      <c r="B13" s="3" t="n"/>
      <c r="C13" s="3" t="n"/>
      <c r="D13" s="4" t="n"/>
      <c r="E13" s="3" t="n"/>
      <c r="F13" s="5" t="n"/>
      <c r="G13" s="5" t="n"/>
      <c r="H13" s="6" t="n"/>
      <c r="I13" s="5" t="n"/>
      <c r="J13" s="5">
        <f>IF(OR(F13="",G13="",H13=""),"",IF(D13="做多",(G13-F13)*H13,(F13-G13)*H13)-I13)</f>
        <v/>
      </c>
      <c r="K13" s="7">
        <f>IFERROR(J13/(F13*H13),"")</f>
        <v/>
      </c>
      <c r="L13" s="4" t="n"/>
      <c r="M13" s="5" t="n"/>
      <c r="N13" s="5" t="n"/>
      <c r="O13" s="4" t="n"/>
      <c r="P13" s="3" t="n"/>
    </row>
    <row r="14">
      <c r="A14" s="2" t="n"/>
      <c r="B14" s="3" t="n"/>
      <c r="C14" s="3" t="n"/>
      <c r="D14" s="4" t="n"/>
      <c r="E14" s="3" t="n"/>
      <c r="F14" s="5" t="n"/>
      <c r="G14" s="5" t="n"/>
      <c r="H14" s="6" t="n"/>
      <c r="I14" s="5" t="n"/>
      <c r="J14" s="5">
        <f>IF(OR(F14="",G14="",H14=""),"",IF(D14="做多",(G14-F14)*H14,(F14-G14)*H14)-I14)</f>
        <v/>
      </c>
      <c r="K14" s="7">
        <f>IFERROR(J14/(F14*H14),"")</f>
        <v/>
      </c>
      <c r="L14" s="4" t="n"/>
      <c r="M14" s="5" t="n"/>
      <c r="N14" s="5" t="n"/>
      <c r="O14" s="4" t="n"/>
      <c r="P14" s="3" t="n"/>
    </row>
    <row r="15">
      <c r="A15" s="2" t="n"/>
      <c r="B15" s="3" t="n"/>
      <c r="C15" s="3" t="n"/>
      <c r="D15" s="4" t="n"/>
      <c r="E15" s="3" t="n"/>
      <c r="F15" s="5" t="n"/>
      <c r="G15" s="5" t="n"/>
      <c r="H15" s="6" t="n"/>
      <c r="I15" s="5" t="n"/>
      <c r="J15" s="5">
        <f>IF(OR(F15="",G15="",H15=""),"",IF(D15="做多",(G15-F15)*H15,(F15-G15)*H15)-I15)</f>
        <v/>
      </c>
      <c r="K15" s="7">
        <f>IFERROR(J15/(F15*H15),"")</f>
        <v/>
      </c>
      <c r="L15" s="4" t="n"/>
      <c r="M15" s="5" t="n"/>
      <c r="N15" s="5" t="n"/>
      <c r="O15" s="4" t="n"/>
      <c r="P15" s="3" t="n"/>
    </row>
    <row r="16">
      <c r="A16" s="2" t="n"/>
      <c r="B16" s="3" t="n"/>
      <c r="C16" s="3" t="n"/>
      <c r="D16" s="4" t="n"/>
      <c r="E16" s="3" t="n"/>
      <c r="F16" s="5" t="n"/>
      <c r="G16" s="5" t="n"/>
      <c r="H16" s="6" t="n"/>
      <c r="I16" s="5" t="n"/>
      <c r="J16" s="5">
        <f>IF(OR(F16="",G16="",H16=""),"",IF(D16="做多",(G16-F16)*H16,(F16-G16)*H16)-I16)</f>
        <v/>
      </c>
      <c r="K16" s="7">
        <f>IFERROR(J16/(F16*H16),"")</f>
        <v/>
      </c>
      <c r="L16" s="4" t="n"/>
      <c r="M16" s="5" t="n"/>
      <c r="N16" s="5" t="n"/>
      <c r="O16" s="4" t="n"/>
      <c r="P16" s="3" t="n"/>
    </row>
    <row r="17">
      <c r="A17" s="2" t="n"/>
      <c r="B17" s="3" t="n"/>
      <c r="C17" s="3" t="n"/>
      <c r="D17" s="4" t="n"/>
      <c r="E17" s="3" t="n"/>
      <c r="F17" s="5" t="n"/>
      <c r="G17" s="5" t="n"/>
      <c r="H17" s="6" t="n"/>
      <c r="I17" s="5" t="n"/>
      <c r="J17" s="5">
        <f>IF(OR(F17="",G17="",H17=""),"",IF(D17="做多",(G17-F17)*H17,(F17-G17)*H17)-I17)</f>
        <v/>
      </c>
      <c r="K17" s="7">
        <f>IFERROR(J17/(F17*H17),"")</f>
        <v/>
      </c>
      <c r="L17" s="4" t="n"/>
      <c r="M17" s="5" t="n"/>
      <c r="N17" s="5" t="n"/>
      <c r="O17" s="4" t="n"/>
      <c r="P17" s="3" t="n"/>
    </row>
    <row r="18">
      <c r="A18" s="2" t="n"/>
      <c r="B18" s="3" t="n"/>
      <c r="C18" s="3" t="n"/>
      <c r="D18" s="4" t="n"/>
      <c r="E18" s="3" t="n"/>
      <c r="F18" s="5" t="n"/>
      <c r="G18" s="5" t="n"/>
      <c r="H18" s="6" t="n"/>
      <c r="I18" s="5" t="n"/>
      <c r="J18" s="5">
        <f>IF(OR(F18="",G18="",H18=""),"",IF(D18="做多",(G18-F18)*H18,(F18-G18)*H18)-I18)</f>
        <v/>
      </c>
      <c r="K18" s="7">
        <f>IFERROR(J18/(F18*H18),"")</f>
        <v/>
      </c>
      <c r="L18" s="4" t="n"/>
      <c r="M18" s="5" t="n"/>
      <c r="N18" s="5" t="n"/>
      <c r="O18" s="4" t="n"/>
      <c r="P18" s="3" t="n"/>
    </row>
    <row r="19">
      <c r="A19" s="2" t="n"/>
      <c r="B19" s="3" t="n"/>
      <c r="C19" s="3" t="n"/>
      <c r="D19" s="4" t="n"/>
      <c r="E19" s="3" t="n"/>
      <c r="F19" s="5" t="n"/>
      <c r="G19" s="5" t="n"/>
      <c r="H19" s="6" t="n"/>
      <c r="I19" s="5" t="n"/>
      <c r="J19" s="5">
        <f>IF(OR(F19="",G19="",H19=""),"",IF(D19="做多",(G19-F19)*H19,(F19-G19)*H19)-I19)</f>
        <v/>
      </c>
      <c r="K19" s="7">
        <f>IFERROR(J19/(F19*H19),"")</f>
        <v/>
      </c>
      <c r="L19" s="4" t="n"/>
      <c r="M19" s="5" t="n"/>
      <c r="N19" s="5" t="n"/>
      <c r="O19" s="4" t="n"/>
      <c r="P19" s="3" t="n"/>
    </row>
    <row r="20">
      <c r="A20" s="2" t="n"/>
      <c r="B20" s="3" t="n"/>
      <c r="C20" s="3" t="n"/>
      <c r="D20" s="4" t="n"/>
      <c r="E20" s="3" t="n"/>
      <c r="F20" s="5" t="n"/>
      <c r="G20" s="5" t="n"/>
      <c r="H20" s="6" t="n"/>
      <c r="I20" s="5" t="n"/>
      <c r="J20" s="5">
        <f>IF(OR(F20="",G20="",H20=""),"",IF(D20="做多",(G20-F20)*H20,(F20-G20)*H20)-I20)</f>
        <v/>
      </c>
      <c r="K20" s="7">
        <f>IFERROR(J20/(F20*H20),"")</f>
        <v/>
      </c>
      <c r="L20" s="4" t="n"/>
      <c r="M20" s="5" t="n"/>
      <c r="N20" s="5" t="n"/>
      <c r="O20" s="4" t="n"/>
      <c r="P20" s="3" t="n"/>
    </row>
    <row r="21">
      <c r="A21" s="2" t="n"/>
      <c r="B21" s="3" t="n"/>
      <c r="C21" s="3" t="n"/>
      <c r="D21" s="4" t="n"/>
      <c r="E21" s="3" t="n"/>
      <c r="F21" s="5" t="n"/>
      <c r="G21" s="5" t="n"/>
      <c r="H21" s="6" t="n"/>
      <c r="I21" s="5" t="n"/>
      <c r="J21" s="5">
        <f>IF(OR(F21="",G21="",H21=""),"",IF(D21="做多",(G21-F21)*H21,(F21-G21)*H21)-I21)</f>
        <v/>
      </c>
      <c r="K21" s="7">
        <f>IFERROR(J21/(F21*H21),"")</f>
        <v/>
      </c>
      <c r="L21" s="4" t="n"/>
      <c r="M21" s="5" t="n"/>
      <c r="N21" s="5" t="n"/>
      <c r="O21" s="4" t="n"/>
      <c r="P21" s="3" t="n"/>
    </row>
    <row r="22">
      <c r="A22" s="2" t="n"/>
      <c r="B22" s="3" t="n"/>
      <c r="C22" s="3" t="n"/>
      <c r="D22" s="4" t="n"/>
      <c r="E22" s="3" t="n"/>
      <c r="F22" s="5" t="n"/>
      <c r="G22" s="5" t="n"/>
      <c r="H22" s="6" t="n"/>
      <c r="I22" s="5" t="n"/>
      <c r="J22" s="5">
        <f>IF(OR(F22="",G22="",H22=""),"",IF(D22="做多",(G22-F22)*H22,(F22-G22)*H22)-I22)</f>
        <v/>
      </c>
      <c r="K22" s="7">
        <f>IFERROR(J22/(F22*H22),"")</f>
        <v/>
      </c>
      <c r="L22" s="4" t="n"/>
      <c r="M22" s="5" t="n"/>
      <c r="N22" s="5" t="n"/>
      <c r="O22" s="4" t="n"/>
      <c r="P22" s="3" t="n"/>
    </row>
    <row r="23">
      <c r="A23" s="2" t="n"/>
      <c r="B23" s="3" t="n"/>
      <c r="C23" s="3" t="n"/>
      <c r="D23" s="4" t="n"/>
      <c r="E23" s="3" t="n"/>
      <c r="F23" s="5" t="n"/>
      <c r="G23" s="5" t="n"/>
      <c r="H23" s="6" t="n"/>
      <c r="I23" s="5" t="n"/>
      <c r="J23" s="5">
        <f>IF(OR(F23="",G23="",H23=""),"",IF(D23="做多",(G23-F23)*H23,(F23-G23)*H23)-I23)</f>
        <v/>
      </c>
      <c r="K23" s="7">
        <f>IFERROR(J23/(F23*H23),"")</f>
        <v/>
      </c>
      <c r="L23" s="4" t="n"/>
      <c r="M23" s="5" t="n"/>
      <c r="N23" s="5" t="n"/>
      <c r="O23" s="4" t="n"/>
      <c r="P23" s="3" t="n"/>
    </row>
    <row r="24">
      <c r="A24" s="2" t="n"/>
      <c r="B24" s="3" t="n"/>
      <c r="C24" s="3" t="n"/>
      <c r="D24" s="4" t="n"/>
      <c r="E24" s="3" t="n"/>
      <c r="F24" s="5" t="n"/>
      <c r="G24" s="5" t="n"/>
      <c r="H24" s="6" t="n"/>
      <c r="I24" s="5" t="n"/>
      <c r="J24" s="5">
        <f>IF(OR(F24="",G24="",H24=""),"",IF(D24="做多",(G24-F24)*H24,(F24-G24)*H24)-I24)</f>
        <v/>
      </c>
      <c r="K24" s="7">
        <f>IFERROR(J24/(F24*H24),"")</f>
        <v/>
      </c>
      <c r="L24" s="4" t="n"/>
      <c r="M24" s="5" t="n"/>
      <c r="N24" s="5" t="n"/>
      <c r="O24" s="4" t="n"/>
      <c r="P24" s="3" t="n"/>
    </row>
    <row r="25">
      <c r="A25" s="2" t="n"/>
      <c r="B25" s="3" t="n"/>
      <c r="C25" s="3" t="n"/>
      <c r="D25" s="4" t="n"/>
      <c r="E25" s="3" t="n"/>
      <c r="F25" s="5" t="n"/>
      <c r="G25" s="5" t="n"/>
      <c r="H25" s="6" t="n"/>
      <c r="I25" s="5" t="n"/>
      <c r="J25" s="5">
        <f>IF(OR(F25="",G25="",H25=""),"",IF(D25="做多",(G25-F25)*H25,(F25-G25)*H25)-I25)</f>
        <v/>
      </c>
      <c r="K25" s="7">
        <f>IFERROR(J25/(F25*H25),"")</f>
        <v/>
      </c>
      <c r="L25" s="4" t="n"/>
      <c r="M25" s="5" t="n"/>
      <c r="N25" s="5" t="n"/>
      <c r="O25" s="4" t="n"/>
      <c r="P25" s="3" t="n"/>
    </row>
    <row r="26">
      <c r="A26" s="2" t="n"/>
      <c r="B26" s="3" t="n"/>
      <c r="C26" s="3" t="n"/>
      <c r="D26" s="4" t="n"/>
      <c r="E26" s="3" t="n"/>
      <c r="F26" s="5" t="n"/>
      <c r="G26" s="5" t="n"/>
      <c r="H26" s="6" t="n"/>
      <c r="I26" s="5" t="n"/>
      <c r="J26" s="5">
        <f>IF(OR(F26="",G26="",H26=""),"",IF(D26="做多",(G26-F26)*H26,(F26-G26)*H26)-I26)</f>
        <v/>
      </c>
      <c r="K26" s="7">
        <f>IFERROR(J26/(F26*H26),"")</f>
        <v/>
      </c>
      <c r="L26" s="4" t="n"/>
      <c r="M26" s="5" t="n"/>
      <c r="N26" s="5" t="n"/>
      <c r="O26" s="4" t="n"/>
      <c r="P26" s="3" t="n"/>
    </row>
    <row r="27">
      <c r="A27" s="2" t="n"/>
      <c r="B27" s="3" t="n"/>
      <c r="C27" s="3" t="n"/>
      <c r="D27" s="4" t="n"/>
      <c r="E27" s="3" t="n"/>
      <c r="F27" s="5" t="n"/>
      <c r="G27" s="5" t="n"/>
      <c r="H27" s="6" t="n"/>
      <c r="I27" s="5" t="n"/>
      <c r="J27" s="5">
        <f>IF(OR(F27="",G27="",H27=""),"",IF(D27="做多",(G27-F27)*H27,(F27-G27)*H27)-I27)</f>
        <v/>
      </c>
      <c r="K27" s="7">
        <f>IFERROR(J27/(F27*H27),"")</f>
        <v/>
      </c>
      <c r="L27" s="4" t="n"/>
      <c r="M27" s="5" t="n"/>
      <c r="N27" s="5" t="n"/>
      <c r="O27" s="4" t="n"/>
      <c r="P27" s="3" t="n"/>
    </row>
    <row r="28">
      <c r="A28" s="2" t="n"/>
      <c r="B28" s="3" t="n"/>
      <c r="C28" s="3" t="n"/>
      <c r="D28" s="4" t="n"/>
      <c r="E28" s="3" t="n"/>
      <c r="F28" s="5" t="n"/>
      <c r="G28" s="5" t="n"/>
      <c r="H28" s="6" t="n"/>
      <c r="I28" s="5" t="n"/>
      <c r="J28" s="5">
        <f>IF(OR(F28="",G28="",H28=""),"",IF(D28="做多",(G28-F28)*H28,(F28-G28)*H28)-I28)</f>
        <v/>
      </c>
      <c r="K28" s="7">
        <f>IFERROR(J28/(F28*H28),"")</f>
        <v/>
      </c>
      <c r="L28" s="4" t="n"/>
      <c r="M28" s="5" t="n"/>
      <c r="N28" s="5" t="n"/>
      <c r="O28" s="4" t="n"/>
      <c r="P28" s="3" t="n"/>
    </row>
    <row r="29">
      <c r="A29" s="2" t="n"/>
      <c r="B29" s="3" t="n"/>
      <c r="C29" s="3" t="n"/>
      <c r="D29" s="4" t="n"/>
      <c r="E29" s="3" t="n"/>
      <c r="F29" s="5" t="n"/>
      <c r="G29" s="5" t="n"/>
      <c r="H29" s="6" t="n"/>
      <c r="I29" s="5" t="n"/>
      <c r="J29" s="5">
        <f>IF(OR(F29="",G29="",H29=""),"",IF(D29="做多",(G29-F29)*H29,(F29-G29)*H29)-I29)</f>
        <v/>
      </c>
      <c r="K29" s="7">
        <f>IFERROR(J29/(F29*H29),"")</f>
        <v/>
      </c>
      <c r="L29" s="4" t="n"/>
      <c r="M29" s="5" t="n"/>
      <c r="N29" s="5" t="n"/>
      <c r="O29" s="4" t="n"/>
      <c r="P29" s="3" t="n"/>
    </row>
    <row r="30">
      <c r="A30" s="2" t="n"/>
      <c r="B30" s="3" t="n"/>
      <c r="C30" s="3" t="n"/>
      <c r="D30" s="4" t="n"/>
      <c r="E30" s="3" t="n"/>
      <c r="F30" s="5" t="n"/>
      <c r="G30" s="5" t="n"/>
      <c r="H30" s="6" t="n"/>
      <c r="I30" s="5" t="n"/>
      <c r="J30" s="5">
        <f>IF(OR(F30="",G30="",H30=""),"",IF(D30="做多",(G30-F30)*H30,(F30-G30)*H30)-I30)</f>
        <v/>
      </c>
      <c r="K30" s="7">
        <f>IFERROR(J30/(F30*H30),"")</f>
        <v/>
      </c>
      <c r="L30" s="4" t="n"/>
      <c r="M30" s="5" t="n"/>
      <c r="N30" s="5" t="n"/>
      <c r="O30" s="4" t="n"/>
      <c r="P30" s="3" t="n"/>
    </row>
    <row r="31">
      <c r="A31" s="2" t="n"/>
      <c r="B31" s="3" t="n"/>
      <c r="C31" s="3" t="n"/>
      <c r="D31" s="4" t="n"/>
      <c r="E31" s="3" t="n"/>
      <c r="F31" s="5" t="n"/>
      <c r="G31" s="5" t="n"/>
      <c r="H31" s="6" t="n"/>
      <c r="I31" s="5" t="n"/>
      <c r="J31" s="5">
        <f>IF(OR(F31="",G31="",H31=""),"",IF(D31="做多",(G31-F31)*H31,(F31-G31)*H31)-I31)</f>
        <v/>
      </c>
      <c r="K31" s="7">
        <f>IFERROR(J31/(F31*H31),"")</f>
        <v/>
      </c>
      <c r="L31" s="4" t="n"/>
      <c r="M31" s="5" t="n"/>
      <c r="N31" s="5" t="n"/>
      <c r="O31" s="4" t="n"/>
      <c r="P31" s="3" t="n"/>
    </row>
    <row r="32">
      <c r="A32" s="2" t="n"/>
      <c r="B32" s="3" t="n"/>
      <c r="C32" s="3" t="n"/>
      <c r="D32" s="4" t="n"/>
      <c r="E32" s="3" t="n"/>
      <c r="F32" s="5" t="n"/>
      <c r="G32" s="5" t="n"/>
      <c r="H32" s="6" t="n"/>
      <c r="I32" s="5" t="n"/>
      <c r="J32" s="5">
        <f>IF(OR(F32="",G32="",H32=""),"",IF(D32="做多",(G32-F32)*H32,(F32-G32)*H32)-I32)</f>
        <v/>
      </c>
      <c r="K32" s="7">
        <f>IFERROR(J32/(F32*H32),"")</f>
        <v/>
      </c>
      <c r="L32" s="4" t="n"/>
      <c r="M32" s="5" t="n"/>
      <c r="N32" s="5" t="n"/>
      <c r="O32" s="4" t="n"/>
      <c r="P32" s="3" t="n"/>
    </row>
    <row r="33">
      <c r="A33" s="2" t="n"/>
      <c r="B33" s="3" t="n"/>
      <c r="C33" s="3" t="n"/>
      <c r="D33" s="4" t="n"/>
      <c r="E33" s="3" t="n"/>
      <c r="F33" s="5" t="n"/>
      <c r="G33" s="5" t="n"/>
      <c r="H33" s="6" t="n"/>
      <c r="I33" s="5" t="n"/>
      <c r="J33" s="5">
        <f>IF(OR(F33="",G33="",H33=""),"",IF(D33="做多",(G33-F33)*H33,(F33-G33)*H33)-I33)</f>
        <v/>
      </c>
      <c r="K33" s="7">
        <f>IFERROR(J33/(F33*H33),"")</f>
        <v/>
      </c>
      <c r="L33" s="4" t="n"/>
      <c r="M33" s="5" t="n"/>
      <c r="N33" s="5" t="n"/>
      <c r="O33" s="4" t="n"/>
      <c r="P33" s="3" t="n"/>
    </row>
    <row r="34">
      <c r="A34" s="2" t="n"/>
      <c r="B34" s="3" t="n"/>
      <c r="C34" s="3" t="n"/>
      <c r="D34" s="4" t="n"/>
      <c r="E34" s="3" t="n"/>
      <c r="F34" s="5" t="n"/>
      <c r="G34" s="5" t="n"/>
      <c r="H34" s="6" t="n"/>
      <c r="I34" s="5" t="n"/>
      <c r="J34" s="5">
        <f>IF(OR(F34="",G34="",H34=""),"",IF(D34="做多",(G34-F34)*H34,(F34-G34)*H34)-I34)</f>
        <v/>
      </c>
      <c r="K34" s="7">
        <f>IFERROR(J34/(F34*H34),"")</f>
        <v/>
      </c>
      <c r="L34" s="4" t="n"/>
      <c r="M34" s="5" t="n"/>
      <c r="N34" s="5" t="n"/>
      <c r="O34" s="4" t="n"/>
      <c r="P34" s="3" t="n"/>
    </row>
    <row r="35">
      <c r="A35" s="2" t="n"/>
      <c r="B35" s="3" t="n"/>
      <c r="C35" s="3" t="n"/>
      <c r="D35" s="4" t="n"/>
      <c r="E35" s="3" t="n"/>
      <c r="F35" s="5" t="n"/>
      <c r="G35" s="5" t="n"/>
      <c r="H35" s="6" t="n"/>
      <c r="I35" s="5" t="n"/>
      <c r="J35" s="5">
        <f>IF(OR(F35="",G35="",H35=""),"",IF(D35="做多",(G35-F35)*H35,(F35-G35)*H35)-I35)</f>
        <v/>
      </c>
      <c r="K35" s="7">
        <f>IFERROR(J35/(F35*H35),"")</f>
        <v/>
      </c>
      <c r="L35" s="4" t="n"/>
      <c r="M35" s="5" t="n"/>
      <c r="N35" s="5" t="n"/>
      <c r="O35" s="4" t="n"/>
      <c r="P35" s="3" t="n"/>
    </row>
    <row r="36">
      <c r="A36" s="2" t="n"/>
      <c r="B36" s="3" t="n"/>
      <c r="C36" s="3" t="n"/>
      <c r="D36" s="4" t="n"/>
      <c r="E36" s="3" t="n"/>
      <c r="F36" s="5" t="n"/>
      <c r="G36" s="5" t="n"/>
      <c r="H36" s="6" t="n"/>
      <c r="I36" s="5" t="n"/>
      <c r="J36" s="5">
        <f>IF(OR(F36="",G36="",H36=""),"",IF(D36="做多",(G36-F36)*H36,(F36-G36)*H36)-I36)</f>
        <v/>
      </c>
      <c r="K36" s="7">
        <f>IFERROR(J36/(F36*H36),"")</f>
        <v/>
      </c>
      <c r="L36" s="4" t="n"/>
      <c r="M36" s="5" t="n"/>
      <c r="N36" s="5" t="n"/>
      <c r="O36" s="4" t="n"/>
      <c r="P36" s="3" t="n"/>
    </row>
    <row r="37">
      <c r="A37" s="2" t="n"/>
      <c r="B37" s="3" t="n"/>
      <c r="C37" s="3" t="n"/>
      <c r="D37" s="4" t="n"/>
      <c r="E37" s="3" t="n"/>
      <c r="F37" s="5" t="n"/>
      <c r="G37" s="5" t="n"/>
      <c r="H37" s="6" t="n"/>
      <c r="I37" s="5" t="n"/>
      <c r="J37" s="5">
        <f>IF(OR(F37="",G37="",H37=""),"",IF(D37="做多",(G37-F37)*H37,(F37-G37)*H37)-I37)</f>
        <v/>
      </c>
      <c r="K37" s="7">
        <f>IFERROR(J37/(F37*H37),"")</f>
        <v/>
      </c>
      <c r="L37" s="4" t="n"/>
      <c r="M37" s="5" t="n"/>
      <c r="N37" s="5" t="n"/>
      <c r="O37" s="4" t="n"/>
      <c r="P37" s="3" t="n"/>
    </row>
    <row r="38">
      <c r="A38" s="2" t="n"/>
      <c r="B38" s="3" t="n"/>
      <c r="C38" s="3" t="n"/>
      <c r="D38" s="4" t="n"/>
      <c r="E38" s="3" t="n"/>
      <c r="F38" s="5" t="n"/>
      <c r="G38" s="5" t="n"/>
      <c r="H38" s="6" t="n"/>
      <c r="I38" s="5" t="n"/>
      <c r="J38" s="5">
        <f>IF(OR(F38="",G38="",H38=""),"",IF(D38="做多",(G38-F38)*H38,(F38-G38)*H38)-I38)</f>
        <v/>
      </c>
      <c r="K38" s="7">
        <f>IFERROR(J38/(F38*H38),"")</f>
        <v/>
      </c>
      <c r="L38" s="4" t="n"/>
      <c r="M38" s="5" t="n"/>
      <c r="N38" s="5" t="n"/>
      <c r="O38" s="4" t="n"/>
      <c r="P38" s="3" t="n"/>
    </row>
    <row r="39">
      <c r="A39" s="2" t="n"/>
      <c r="B39" s="3" t="n"/>
      <c r="C39" s="3" t="n"/>
      <c r="D39" s="4" t="n"/>
      <c r="E39" s="3" t="n"/>
      <c r="F39" s="5" t="n"/>
      <c r="G39" s="5" t="n"/>
      <c r="H39" s="6" t="n"/>
      <c r="I39" s="5" t="n"/>
      <c r="J39" s="5">
        <f>IF(OR(F39="",G39="",H39=""),"",IF(D39="做多",(G39-F39)*H39,(F39-G39)*H39)-I39)</f>
        <v/>
      </c>
      <c r="K39" s="7">
        <f>IFERROR(J39/(F39*H39),"")</f>
        <v/>
      </c>
      <c r="L39" s="4" t="n"/>
      <c r="M39" s="5" t="n"/>
      <c r="N39" s="5" t="n"/>
      <c r="O39" s="4" t="n"/>
      <c r="P39" s="3" t="n"/>
    </row>
    <row r="40">
      <c r="A40" s="2" t="n"/>
      <c r="B40" s="3" t="n"/>
      <c r="C40" s="3" t="n"/>
      <c r="D40" s="4" t="n"/>
      <c r="E40" s="3" t="n"/>
      <c r="F40" s="5" t="n"/>
      <c r="G40" s="5" t="n"/>
      <c r="H40" s="6" t="n"/>
      <c r="I40" s="5" t="n"/>
      <c r="J40" s="5">
        <f>IF(OR(F40="",G40="",H40=""),"",IF(D40="做多",(G40-F40)*H40,(F40-G40)*H40)-I40)</f>
        <v/>
      </c>
      <c r="K40" s="7">
        <f>IFERROR(J40/(F40*H40),"")</f>
        <v/>
      </c>
      <c r="L40" s="4" t="n"/>
      <c r="M40" s="5" t="n"/>
      <c r="N40" s="5" t="n"/>
      <c r="O40" s="4" t="n"/>
      <c r="P40" s="3" t="n"/>
    </row>
    <row r="41">
      <c r="A41" s="2" t="n"/>
      <c r="B41" s="3" t="n"/>
      <c r="C41" s="3" t="n"/>
      <c r="D41" s="4" t="n"/>
      <c r="E41" s="3" t="n"/>
      <c r="F41" s="5" t="n"/>
      <c r="G41" s="5" t="n"/>
      <c r="H41" s="6" t="n"/>
      <c r="I41" s="5" t="n"/>
      <c r="J41" s="5">
        <f>IF(OR(F41="",G41="",H41=""),"",IF(D41="做多",(G41-F41)*H41,(F41-G41)*H41)-I41)</f>
        <v/>
      </c>
      <c r="K41" s="7">
        <f>IFERROR(J41/(F41*H41),"")</f>
        <v/>
      </c>
      <c r="L41" s="4" t="n"/>
      <c r="M41" s="5" t="n"/>
      <c r="N41" s="5" t="n"/>
      <c r="O41" s="4" t="n"/>
      <c r="P41" s="3" t="n"/>
    </row>
    <row r="42">
      <c r="A42" s="2" t="n"/>
      <c r="B42" s="3" t="n"/>
      <c r="C42" s="3" t="n"/>
      <c r="D42" s="4" t="n"/>
      <c r="E42" s="3" t="n"/>
      <c r="F42" s="5" t="n"/>
      <c r="G42" s="5" t="n"/>
      <c r="H42" s="6" t="n"/>
      <c r="I42" s="5" t="n"/>
      <c r="J42" s="5">
        <f>IF(OR(F42="",G42="",H42=""),"",IF(D42="做多",(G42-F42)*H42,(F42-G42)*H42)-I42)</f>
        <v/>
      </c>
      <c r="K42" s="7">
        <f>IFERROR(J42/(F42*H42),"")</f>
        <v/>
      </c>
      <c r="L42" s="4" t="n"/>
      <c r="M42" s="5" t="n"/>
      <c r="N42" s="5" t="n"/>
      <c r="O42" s="4" t="n"/>
      <c r="P42" s="3" t="n"/>
    </row>
    <row r="43">
      <c r="A43" s="2" t="n"/>
      <c r="B43" s="3" t="n"/>
      <c r="C43" s="3" t="n"/>
      <c r="D43" s="4" t="n"/>
      <c r="E43" s="3" t="n"/>
      <c r="F43" s="5" t="n"/>
      <c r="G43" s="5" t="n"/>
      <c r="H43" s="6" t="n"/>
      <c r="I43" s="5" t="n"/>
      <c r="J43" s="5">
        <f>IF(OR(F43="",G43="",H43=""),"",IF(D43="做多",(G43-F43)*H43,(F43-G43)*H43)-I43)</f>
        <v/>
      </c>
      <c r="K43" s="7">
        <f>IFERROR(J43/(F43*H43),"")</f>
        <v/>
      </c>
      <c r="L43" s="4" t="n"/>
      <c r="M43" s="5" t="n"/>
      <c r="N43" s="5" t="n"/>
      <c r="O43" s="4" t="n"/>
      <c r="P43" s="3" t="n"/>
    </row>
    <row r="44">
      <c r="A44" s="2" t="n"/>
      <c r="B44" s="3" t="n"/>
      <c r="C44" s="3" t="n"/>
      <c r="D44" s="4" t="n"/>
      <c r="E44" s="3" t="n"/>
      <c r="F44" s="5" t="n"/>
      <c r="G44" s="5" t="n"/>
      <c r="H44" s="6" t="n"/>
      <c r="I44" s="5" t="n"/>
      <c r="J44" s="5">
        <f>IF(OR(F44="",G44="",H44=""),"",IF(D44="做多",(G44-F44)*H44,(F44-G44)*H44)-I44)</f>
        <v/>
      </c>
      <c r="K44" s="7">
        <f>IFERROR(J44/(F44*H44),"")</f>
        <v/>
      </c>
      <c r="L44" s="4" t="n"/>
      <c r="M44" s="5" t="n"/>
      <c r="N44" s="5" t="n"/>
      <c r="O44" s="4" t="n"/>
      <c r="P44" s="3" t="n"/>
    </row>
    <row r="45">
      <c r="A45" s="2" t="n"/>
      <c r="B45" s="3" t="n"/>
      <c r="C45" s="3" t="n"/>
      <c r="D45" s="4" t="n"/>
      <c r="E45" s="3" t="n"/>
      <c r="F45" s="5" t="n"/>
      <c r="G45" s="5" t="n"/>
      <c r="H45" s="6" t="n"/>
      <c r="I45" s="5" t="n"/>
      <c r="J45" s="5">
        <f>IF(OR(F45="",G45="",H45=""),"",IF(D45="做多",(G45-F45)*H45,(F45-G45)*H45)-I45)</f>
        <v/>
      </c>
      <c r="K45" s="7">
        <f>IFERROR(J45/(F45*H45),"")</f>
        <v/>
      </c>
      <c r="L45" s="4" t="n"/>
      <c r="M45" s="5" t="n"/>
      <c r="N45" s="5" t="n"/>
      <c r="O45" s="4" t="n"/>
      <c r="P45" s="3" t="n"/>
    </row>
    <row r="46">
      <c r="A46" s="2" t="n"/>
      <c r="B46" s="3" t="n"/>
      <c r="C46" s="3" t="n"/>
      <c r="D46" s="4" t="n"/>
      <c r="E46" s="3" t="n"/>
      <c r="F46" s="5" t="n"/>
      <c r="G46" s="5" t="n"/>
      <c r="H46" s="6" t="n"/>
      <c r="I46" s="5" t="n"/>
      <c r="J46" s="5">
        <f>IF(OR(F46="",G46="",H46=""),"",IF(D46="做多",(G46-F46)*H46,(F46-G46)*H46)-I46)</f>
        <v/>
      </c>
      <c r="K46" s="7">
        <f>IFERROR(J46/(F46*H46),"")</f>
        <v/>
      </c>
      <c r="L46" s="4" t="n"/>
      <c r="M46" s="5" t="n"/>
      <c r="N46" s="5" t="n"/>
      <c r="O46" s="4" t="n"/>
      <c r="P46" s="3" t="n"/>
    </row>
    <row r="47">
      <c r="A47" s="2" t="n"/>
      <c r="B47" s="3" t="n"/>
      <c r="C47" s="3" t="n"/>
      <c r="D47" s="4" t="n"/>
      <c r="E47" s="3" t="n"/>
      <c r="F47" s="5" t="n"/>
      <c r="G47" s="5" t="n"/>
      <c r="H47" s="6" t="n"/>
      <c r="I47" s="5" t="n"/>
      <c r="J47" s="5">
        <f>IF(OR(F47="",G47="",H47=""),"",IF(D47="做多",(G47-F47)*H47,(F47-G47)*H47)-I47)</f>
        <v/>
      </c>
      <c r="K47" s="7">
        <f>IFERROR(J47/(F47*H47),"")</f>
        <v/>
      </c>
      <c r="L47" s="4" t="n"/>
      <c r="M47" s="5" t="n"/>
      <c r="N47" s="5" t="n"/>
      <c r="O47" s="4" t="n"/>
      <c r="P47" s="3" t="n"/>
    </row>
    <row r="48">
      <c r="A48" s="2" t="n"/>
      <c r="B48" s="3" t="n"/>
      <c r="C48" s="3" t="n"/>
      <c r="D48" s="4" t="n"/>
      <c r="E48" s="3" t="n"/>
      <c r="F48" s="5" t="n"/>
      <c r="G48" s="5" t="n"/>
      <c r="H48" s="6" t="n"/>
      <c r="I48" s="5" t="n"/>
      <c r="J48" s="5">
        <f>IF(OR(F48="",G48="",H48=""),"",IF(D48="做多",(G48-F48)*H48,(F48-G48)*H48)-I48)</f>
        <v/>
      </c>
      <c r="K48" s="7">
        <f>IFERROR(J48/(F48*H48),"")</f>
        <v/>
      </c>
      <c r="L48" s="4" t="n"/>
      <c r="M48" s="5" t="n"/>
      <c r="N48" s="5" t="n"/>
      <c r="O48" s="4" t="n"/>
      <c r="P48" s="3" t="n"/>
    </row>
    <row r="49">
      <c r="A49" s="2" t="n"/>
      <c r="B49" s="3" t="n"/>
      <c r="C49" s="3" t="n"/>
      <c r="D49" s="4" t="n"/>
      <c r="E49" s="3" t="n"/>
      <c r="F49" s="5" t="n"/>
      <c r="G49" s="5" t="n"/>
      <c r="H49" s="6" t="n"/>
      <c r="I49" s="5" t="n"/>
      <c r="J49" s="5">
        <f>IF(OR(F49="",G49="",H49=""),"",IF(D49="做多",(G49-F49)*H49,(F49-G49)*H49)-I49)</f>
        <v/>
      </c>
      <c r="K49" s="7">
        <f>IFERROR(J49/(F49*H49),"")</f>
        <v/>
      </c>
      <c r="L49" s="4" t="n"/>
      <c r="M49" s="5" t="n"/>
      <c r="N49" s="5" t="n"/>
      <c r="O49" s="4" t="n"/>
      <c r="P49" s="3" t="n"/>
    </row>
    <row r="50">
      <c r="A50" s="2" t="n"/>
      <c r="B50" s="3" t="n"/>
      <c r="C50" s="3" t="n"/>
      <c r="D50" s="4" t="n"/>
      <c r="E50" s="3" t="n"/>
      <c r="F50" s="5" t="n"/>
      <c r="G50" s="5" t="n"/>
      <c r="H50" s="6" t="n"/>
      <c r="I50" s="5" t="n"/>
      <c r="J50" s="5">
        <f>IF(OR(F50="",G50="",H50=""),"",IF(D50="做多",(G50-F50)*H50,(F50-G50)*H50)-I50)</f>
        <v/>
      </c>
      <c r="K50" s="7">
        <f>IFERROR(J50/(F50*H50),"")</f>
        <v/>
      </c>
      <c r="L50" s="4" t="n"/>
      <c r="M50" s="5" t="n"/>
      <c r="N50" s="5" t="n"/>
      <c r="O50" s="4" t="n"/>
      <c r="P50" s="3" t="n"/>
    </row>
    <row r="51">
      <c r="A51" s="2" t="n"/>
      <c r="B51" s="3" t="n"/>
      <c r="C51" s="3" t="n"/>
      <c r="D51" s="4" t="n"/>
      <c r="E51" s="3" t="n"/>
      <c r="F51" s="5" t="n"/>
      <c r="G51" s="5" t="n"/>
      <c r="H51" s="6" t="n"/>
      <c r="I51" s="5" t="n"/>
      <c r="J51" s="5">
        <f>IF(OR(F51="",G51="",H51=""),"",IF(D51="做多",(G51-F51)*H51,(F51-G51)*H51)-I51)</f>
        <v/>
      </c>
      <c r="K51" s="7">
        <f>IFERROR(J51/(F51*H51),"")</f>
        <v/>
      </c>
      <c r="L51" s="4" t="n"/>
      <c r="M51" s="5" t="n"/>
      <c r="N51" s="5" t="n"/>
      <c r="O51" s="4" t="n"/>
      <c r="P51" s="3" t="n"/>
    </row>
    <row r="52">
      <c r="A52" s="2" t="n"/>
      <c r="B52" s="3" t="n"/>
      <c r="C52" s="3" t="n"/>
      <c r="D52" s="4" t="n"/>
      <c r="E52" s="3" t="n"/>
      <c r="F52" s="5" t="n"/>
      <c r="G52" s="5" t="n"/>
      <c r="H52" s="6" t="n"/>
      <c r="I52" s="5" t="n"/>
      <c r="J52" s="5">
        <f>IF(OR(F52="",G52="",H52=""),"",IF(D52="做多",(G52-F52)*H52,(F52-G52)*H52)-I52)</f>
        <v/>
      </c>
      <c r="K52" s="7">
        <f>IFERROR(J52/(F52*H52),"")</f>
        <v/>
      </c>
      <c r="L52" s="4" t="n"/>
      <c r="M52" s="5" t="n"/>
      <c r="N52" s="5" t="n"/>
      <c r="O52" s="4" t="n"/>
      <c r="P52" s="3" t="n"/>
    </row>
    <row r="53">
      <c r="A53" s="2" t="n"/>
      <c r="B53" s="3" t="n"/>
      <c r="C53" s="3" t="n"/>
      <c r="D53" s="4" t="n"/>
      <c r="E53" s="3" t="n"/>
      <c r="F53" s="5" t="n"/>
      <c r="G53" s="5" t="n"/>
      <c r="H53" s="6" t="n"/>
      <c r="I53" s="5" t="n"/>
      <c r="J53" s="5">
        <f>IF(OR(F53="",G53="",H53=""),"",IF(D53="做多",(G53-F53)*H53,(F53-G53)*H53)-I53)</f>
        <v/>
      </c>
      <c r="K53" s="7">
        <f>IFERROR(J53/(F53*H53),"")</f>
        <v/>
      </c>
      <c r="L53" s="4" t="n"/>
      <c r="M53" s="5" t="n"/>
      <c r="N53" s="5" t="n"/>
      <c r="O53" s="4" t="n"/>
      <c r="P53" s="3" t="n"/>
    </row>
    <row r="54">
      <c r="A54" s="2" t="n"/>
      <c r="B54" s="3" t="n"/>
      <c r="C54" s="3" t="n"/>
      <c r="D54" s="4" t="n"/>
      <c r="E54" s="3" t="n"/>
      <c r="F54" s="5" t="n"/>
      <c r="G54" s="5" t="n"/>
      <c r="H54" s="6" t="n"/>
      <c r="I54" s="5" t="n"/>
      <c r="J54" s="5">
        <f>IF(OR(F54="",G54="",H54=""),"",IF(D54="做多",(G54-F54)*H54,(F54-G54)*H54)-I54)</f>
        <v/>
      </c>
      <c r="K54" s="7">
        <f>IFERROR(J54/(F54*H54),"")</f>
        <v/>
      </c>
      <c r="L54" s="4" t="n"/>
      <c r="M54" s="5" t="n"/>
      <c r="N54" s="5" t="n"/>
      <c r="O54" s="4" t="n"/>
      <c r="P54" s="3" t="n"/>
    </row>
    <row r="55">
      <c r="A55" s="2" t="n"/>
      <c r="B55" s="3" t="n"/>
      <c r="C55" s="3" t="n"/>
      <c r="D55" s="4" t="n"/>
      <c r="E55" s="3" t="n"/>
      <c r="F55" s="5" t="n"/>
      <c r="G55" s="5" t="n"/>
      <c r="H55" s="6" t="n"/>
      <c r="I55" s="5" t="n"/>
      <c r="J55" s="5">
        <f>IF(OR(F55="",G55="",H55=""),"",IF(D55="做多",(G55-F55)*H55,(F55-G55)*H55)-I55)</f>
        <v/>
      </c>
      <c r="K55" s="7">
        <f>IFERROR(J55/(F55*H55),"")</f>
        <v/>
      </c>
      <c r="L55" s="4" t="n"/>
      <c r="M55" s="5" t="n"/>
      <c r="N55" s="5" t="n"/>
      <c r="O55" s="4" t="n"/>
      <c r="P55" s="3" t="n"/>
    </row>
    <row r="56">
      <c r="A56" s="2" t="n"/>
      <c r="B56" s="3" t="n"/>
      <c r="C56" s="3" t="n"/>
      <c r="D56" s="4" t="n"/>
      <c r="E56" s="3" t="n"/>
      <c r="F56" s="5" t="n"/>
      <c r="G56" s="5" t="n"/>
      <c r="H56" s="6" t="n"/>
      <c r="I56" s="5" t="n"/>
      <c r="J56" s="5">
        <f>IF(OR(F56="",G56="",H56=""),"",IF(D56="做多",(G56-F56)*H56,(F56-G56)*H56)-I56)</f>
        <v/>
      </c>
      <c r="K56" s="7">
        <f>IFERROR(J56/(F56*H56),"")</f>
        <v/>
      </c>
      <c r="L56" s="4" t="n"/>
      <c r="M56" s="5" t="n"/>
      <c r="N56" s="5" t="n"/>
      <c r="O56" s="4" t="n"/>
      <c r="P56" s="3" t="n"/>
    </row>
    <row r="57">
      <c r="A57" s="2" t="n"/>
      <c r="B57" s="3" t="n"/>
      <c r="C57" s="3" t="n"/>
      <c r="D57" s="4" t="n"/>
      <c r="E57" s="3" t="n"/>
      <c r="F57" s="5" t="n"/>
      <c r="G57" s="5" t="n"/>
      <c r="H57" s="6" t="n"/>
      <c r="I57" s="5" t="n"/>
      <c r="J57" s="5">
        <f>IF(OR(F57="",G57="",H57=""),"",IF(D57="做多",(G57-F57)*H57,(F57-G57)*H57)-I57)</f>
        <v/>
      </c>
      <c r="K57" s="7">
        <f>IFERROR(J57/(F57*H57),"")</f>
        <v/>
      </c>
      <c r="L57" s="4" t="n"/>
      <c r="M57" s="5" t="n"/>
      <c r="N57" s="5" t="n"/>
      <c r="O57" s="4" t="n"/>
      <c r="P57" s="3" t="n"/>
    </row>
    <row r="58">
      <c r="A58" s="2" t="n"/>
      <c r="B58" s="3" t="n"/>
      <c r="C58" s="3" t="n"/>
      <c r="D58" s="4" t="n"/>
      <c r="E58" s="3" t="n"/>
      <c r="F58" s="5" t="n"/>
      <c r="G58" s="5" t="n"/>
      <c r="H58" s="6" t="n"/>
      <c r="I58" s="5" t="n"/>
      <c r="J58" s="5">
        <f>IF(OR(F58="",G58="",H58=""),"",IF(D58="做多",(G58-F58)*H58,(F58-G58)*H58)-I58)</f>
        <v/>
      </c>
      <c r="K58" s="7">
        <f>IFERROR(J58/(F58*H58),"")</f>
        <v/>
      </c>
      <c r="L58" s="4" t="n"/>
      <c r="M58" s="5" t="n"/>
      <c r="N58" s="5" t="n"/>
      <c r="O58" s="4" t="n"/>
      <c r="P58" s="3" t="n"/>
    </row>
    <row r="59">
      <c r="A59" s="2" t="n"/>
      <c r="B59" s="3" t="n"/>
      <c r="C59" s="3" t="n"/>
      <c r="D59" s="4" t="n"/>
      <c r="E59" s="3" t="n"/>
      <c r="F59" s="5" t="n"/>
      <c r="G59" s="5" t="n"/>
      <c r="H59" s="6" t="n"/>
      <c r="I59" s="5" t="n"/>
      <c r="J59" s="5">
        <f>IF(OR(F59="",G59="",H59=""),"",IF(D59="做多",(G59-F59)*H59,(F59-G59)*H59)-I59)</f>
        <v/>
      </c>
      <c r="K59" s="7">
        <f>IFERROR(J59/(F59*H59),"")</f>
        <v/>
      </c>
      <c r="L59" s="4" t="n"/>
      <c r="M59" s="5" t="n"/>
      <c r="N59" s="5" t="n"/>
      <c r="O59" s="4" t="n"/>
      <c r="P59" s="3" t="n"/>
    </row>
    <row r="60">
      <c r="A60" s="2" t="n"/>
      <c r="B60" s="3" t="n"/>
      <c r="C60" s="3" t="n"/>
      <c r="D60" s="4" t="n"/>
      <c r="E60" s="3" t="n"/>
      <c r="F60" s="5" t="n"/>
      <c r="G60" s="5" t="n"/>
      <c r="H60" s="6" t="n"/>
      <c r="I60" s="5" t="n"/>
      <c r="J60" s="5">
        <f>IF(OR(F60="",G60="",H60=""),"",IF(D60="做多",(G60-F60)*H60,(F60-G60)*H60)-I60)</f>
        <v/>
      </c>
      <c r="K60" s="7">
        <f>IFERROR(J60/(F60*H60),"")</f>
        <v/>
      </c>
      <c r="L60" s="4" t="n"/>
      <c r="M60" s="5" t="n"/>
      <c r="N60" s="5" t="n"/>
      <c r="O60" s="4" t="n"/>
      <c r="P60" s="3" t="n"/>
    </row>
    <row r="61">
      <c r="A61" s="2" t="n"/>
      <c r="B61" s="3" t="n"/>
      <c r="C61" s="3" t="n"/>
      <c r="D61" s="4" t="n"/>
      <c r="E61" s="3" t="n"/>
      <c r="F61" s="5" t="n"/>
      <c r="G61" s="5" t="n"/>
      <c r="H61" s="6" t="n"/>
      <c r="I61" s="5" t="n"/>
      <c r="J61" s="5">
        <f>IF(OR(F61="",G61="",H61=""),"",IF(D61="做多",(G61-F61)*H61,(F61-G61)*H61)-I61)</f>
        <v/>
      </c>
      <c r="K61" s="7">
        <f>IFERROR(J61/(F61*H61),"")</f>
        <v/>
      </c>
      <c r="L61" s="4" t="n"/>
      <c r="M61" s="5" t="n"/>
      <c r="N61" s="5" t="n"/>
      <c r="O61" s="4" t="n"/>
      <c r="P61" s="3" t="n"/>
    </row>
    <row r="62">
      <c r="A62" s="2" t="n"/>
      <c r="B62" s="3" t="n"/>
      <c r="C62" s="3" t="n"/>
      <c r="D62" s="4" t="n"/>
      <c r="E62" s="3" t="n"/>
      <c r="F62" s="5" t="n"/>
      <c r="G62" s="5" t="n"/>
      <c r="H62" s="6" t="n"/>
      <c r="I62" s="5" t="n"/>
      <c r="J62" s="5">
        <f>IF(OR(F62="",G62="",H62=""),"",IF(D62="做多",(G62-F62)*H62,(F62-G62)*H62)-I62)</f>
        <v/>
      </c>
      <c r="K62" s="7">
        <f>IFERROR(J62/(F62*H62),"")</f>
        <v/>
      </c>
      <c r="L62" s="4" t="n"/>
      <c r="M62" s="5" t="n"/>
      <c r="N62" s="5" t="n"/>
      <c r="O62" s="4" t="n"/>
      <c r="P62" s="3" t="n"/>
    </row>
    <row r="63">
      <c r="A63" s="2" t="n"/>
      <c r="B63" s="3" t="n"/>
      <c r="C63" s="3" t="n"/>
      <c r="D63" s="4" t="n"/>
      <c r="E63" s="3" t="n"/>
      <c r="F63" s="5" t="n"/>
      <c r="G63" s="5" t="n"/>
      <c r="H63" s="6" t="n"/>
      <c r="I63" s="5" t="n"/>
      <c r="J63" s="5">
        <f>IF(OR(F63="",G63="",H63=""),"",IF(D63="做多",(G63-F63)*H63,(F63-G63)*H63)-I63)</f>
        <v/>
      </c>
      <c r="K63" s="7">
        <f>IFERROR(J63/(F63*H63),"")</f>
        <v/>
      </c>
      <c r="L63" s="4" t="n"/>
      <c r="M63" s="5" t="n"/>
      <c r="N63" s="5" t="n"/>
      <c r="O63" s="4" t="n"/>
      <c r="P63" s="3" t="n"/>
    </row>
    <row r="64">
      <c r="A64" s="2" t="n"/>
      <c r="B64" s="3" t="n"/>
      <c r="C64" s="3" t="n"/>
      <c r="D64" s="4" t="n"/>
      <c r="E64" s="3" t="n"/>
      <c r="F64" s="5" t="n"/>
      <c r="G64" s="5" t="n"/>
      <c r="H64" s="6" t="n"/>
      <c r="I64" s="5" t="n"/>
      <c r="J64" s="5">
        <f>IF(OR(F64="",G64="",H64=""),"",IF(D64="做多",(G64-F64)*H64,(F64-G64)*H64)-I64)</f>
        <v/>
      </c>
      <c r="K64" s="7">
        <f>IFERROR(J64/(F64*H64),"")</f>
        <v/>
      </c>
      <c r="L64" s="4" t="n"/>
      <c r="M64" s="5" t="n"/>
      <c r="N64" s="5" t="n"/>
      <c r="O64" s="4" t="n"/>
      <c r="P64" s="3" t="n"/>
    </row>
    <row r="65">
      <c r="A65" s="2" t="n"/>
      <c r="B65" s="3" t="n"/>
      <c r="C65" s="3" t="n"/>
      <c r="D65" s="4" t="n"/>
      <c r="E65" s="3" t="n"/>
      <c r="F65" s="5" t="n"/>
      <c r="G65" s="5" t="n"/>
      <c r="H65" s="6" t="n"/>
      <c r="I65" s="5" t="n"/>
      <c r="J65" s="5">
        <f>IF(OR(F65="",G65="",H65=""),"",IF(D65="做多",(G65-F65)*H65,(F65-G65)*H65)-I65)</f>
        <v/>
      </c>
      <c r="K65" s="7">
        <f>IFERROR(J65/(F65*H65),"")</f>
        <v/>
      </c>
      <c r="L65" s="4" t="n"/>
      <c r="M65" s="5" t="n"/>
      <c r="N65" s="5" t="n"/>
      <c r="O65" s="4" t="n"/>
      <c r="P65" s="3" t="n"/>
    </row>
    <row r="66">
      <c r="A66" s="2" t="n"/>
      <c r="B66" s="3" t="n"/>
      <c r="C66" s="3" t="n"/>
      <c r="D66" s="4" t="n"/>
      <c r="E66" s="3" t="n"/>
      <c r="F66" s="5" t="n"/>
      <c r="G66" s="5" t="n"/>
      <c r="H66" s="6" t="n"/>
      <c r="I66" s="5" t="n"/>
      <c r="J66" s="5">
        <f>IF(OR(F66="",G66="",H66=""),"",IF(D66="做多",(G66-F66)*H66,(F66-G66)*H66)-I66)</f>
        <v/>
      </c>
      <c r="K66" s="7">
        <f>IFERROR(J66/(F66*H66),"")</f>
        <v/>
      </c>
      <c r="L66" s="4" t="n"/>
      <c r="M66" s="5" t="n"/>
      <c r="N66" s="5" t="n"/>
      <c r="O66" s="4" t="n"/>
      <c r="P66" s="3" t="n"/>
    </row>
    <row r="67">
      <c r="A67" s="2" t="n"/>
      <c r="B67" s="3" t="n"/>
      <c r="C67" s="3" t="n"/>
      <c r="D67" s="4" t="n"/>
      <c r="E67" s="3" t="n"/>
      <c r="F67" s="5" t="n"/>
      <c r="G67" s="5" t="n"/>
      <c r="H67" s="6" t="n"/>
      <c r="I67" s="5" t="n"/>
      <c r="J67" s="5">
        <f>IF(OR(F67="",G67="",H67=""),"",IF(D67="做多",(G67-F67)*H67,(F67-G67)*H67)-I67)</f>
        <v/>
      </c>
      <c r="K67" s="7">
        <f>IFERROR(J67/(F67*H67),"")</f>
        <v/>
      </c>
      <c r="L67" s="4" t="n"/>
      <c r="M67" s="5" t="n"/>
      <c r="N67" s="5" t="n"/>
      <c r="O67" s="4" t="n"/>
      <c r="P67" s="3" t="n"/>
    </row>
    <row r="68">
      <c r="A68" s="2" t="n"/>
      <c r="B68" s="3" t="n"/>
      <c r="C68" s="3" t="n"/>
      <c r="D68" s="4" t="n"/>
      <c r="E68" s="3" t="n"/>
      <c r="F68" s="5" t="n"/>
      <c r="G68" s="5" t="n"/>
      <c r="H68" s="6" t="n"/>
      <c r="I68" s="5" t="n"/>
      <c r="J68" s="5">
        <f>IF(OR(F68="",G68="",H68=""),"",IF(D68="做多",(G68-F68)*H68,(F68-G68)*H68)-I68)</f>
        <v/>
      </c>
      <c r="K68" s="7">
        <f>IFERROR(J68/(F68*H68),"")</f>
        <v/>
      </c>
      <c r="L68" s="4" t="n"/>
      <c r="M68" s="5" t="n"/>
      <c r="N68" s="5" t="n"/>
      <c r="O68" s="4" t="n"/>
      <c r="P68" s="3" t="n"/>
    </row>
    <row r="69">
      <c r="A69" s="2" t="n"/>
      <c r="B69" s="3" t="n"/>
      <c r="C69" s="3" t="n"/>
      <c r="D69" s="4" t="n"/>
      <c r="E69" s="3" t="n"/>
      <c r="F69" s="5" t="n"/>
      <c r="G69" s="5" t="n"/>
      <c r="H69" s="6" t="n"/>
      <c r="I69" s="5" t="n"/>
      <c r="J69" s="5">
        <f>IF(OR(F69="",G69="",H69=""),"",IF(D69="做多",(G69-F69)*H69,(F69-G69)*H69)-I69)</f>
        <v/>
      </c>
      <c r="K69" s="7">
        <f>IFERROR(J69/(F69*H69),"")</f>
        <v/>
      </c>
      <c r="L69" s="4" t="n"/>
      <c r="M69" s="5" t="n"/>
      <c r="N69" s="5" t="n"/>
      <c r="O69" s="4" t="n"/>
      <c r="P69" s="3" t="n"/>
    </row>
    <row r="70">
      <c r="A70" s="2" t="n"/>
      <c r="B70" s="3" t="n"/>
      <c r="C70" s="3" t="n"/>
      <c r="D70" s="4" t="n"/>
      <c r="E70" s="3" t="n"/>
      <c r="F70" s="5" t="n"/>
      <c r="G70" s="5" t="n"/>
      <c r="H70" s="6" t="n"/>
      <c r="I70" s="5" t="n"/>
      <c r="J70" s="5">
        <f>IF(OR(F70="",G70="",H70=""),"",IF(D70="做多",(G70-F70)*H70,(F70-G70)*H70)-I70)</f>
        <v/>
      </c>
      <c r="K70" s="7">
        <f>IFERROR(J70/(F70*H70),"")</f>
        <v/>
      </c>
      <c r="L70" s="4" t="n"/>
      <c r="M70" s="5" t="n"/>
      <c r="N70" s="5" t="n"/>
      <c r="O70" s="4" t="n"/>
      <c r="P70" s="3" t="n"/>
    </row>
    <row r="71">
      <c r="A71" s="2" t="n"/>
      <c r="B71" s="3" t="n"/>
      <c r="C71" s="3" t="n"/>
      <c r="D71" s="4" t="n"/>
      <c r="E71" s="3" t="n"/>
      <c r="F71" s="5" t="n"/>
      <c r="G71" s="5" t="n"/>
      <c r="H71" s="6" t="n"/>
      <c r="I71" s="5" t="n"/>
      <c r="J71" s="5">
        <f>IF(OR(F71="",G71="",H71=""),"",IF(D71="做多",(G71-F71)*H71,(F71-G71)*H71)-I71)</f>
        <v/>
      </c>
      <c r="K71" s="7">
        <f>IFERROR(J71/(F71*H71),"")</f>
        <v/>
      </c>
      <c r="L71" s="4" t="n"/>
      <c r="M71" s="5" t="n"/>
      <c r="N71" s="5" t="n"/>
      <c r="O71" s="4" t="n"/>
      <c r="P71" s="3" t="n"/>
    </row>
    <row r="72">
      <c r="A72" s="2" t="n"/>
      <c r="B72" s="3" t="n"/>
      <c r="C72" s="3" t="n"/>
      <c r="D72" s="4" t="n"/>
      <c r="E72" s="3" t="n"/>
      <c r="F72" s="5" t="n"/>
      <c r="G72" s="5" t="n"/>
      <c r="H72" s="6" t="n"/>
      <c r="I72" s="5" t="n"/>
      <c r="J72" s="5">
        <f>IF(OR(F72="",G72="",H72=""),"",IF(D72="做多",(G72-F72)*H72,(F72-G72)*H72)-I72)</f>
        <v/>
      </c>
      <c r="K72" s="7">
        <f>IFERROR(J72/(F72*H72),"")</f>
        <v/>
      </c>
      <c r="L72" s="4" t="n"/>
      <c r="M72" s="5" t="n"/>
      <c r="N72" s="5" t="n"/>
      <c r="O72" s="4" t="n"/>
      <c r="P72" s="3" t="n"/>
    </row>
    <row r="73">
      <c r="A73" s="2" t="n"/>
      <c r="B73" s="3" t="n"/>
      <c r="C73" s="3" t="n"/>
      <c r="D73" s="4" t="n"/>
      <c r="E73" s="3" t="n"/>
      <c r="F73" s="5" t="n"/>
      <c r="G73" s="5" t="n"/>
      <c r="H73" s="6" t="n"/>
      <c r="I73" s="5" t="n"/>
      <c r="J73" s="5">
        <f>IF(OR(F73="",G73="",H73=""),"",IF(D73="做多",(G73-F73)*H73,(F73-G73)*H73)-I73)</f>
        <v/>
      </c>
      <c r="K73" s="7">
        <f>IFERROR(J73/(F73*H73),"")</f>
        <v/>
      </c>
      <c r="L73" s="4" t="n"/>
      <c r="M73" s="5" t="n"/>
      <c r="N73" s="5" t="n"/>
      <c r="O73" s="4" t="n"/>
      <c r="P73" s="3" t="n"/>
    </row>
    <row r="74">
      <c r="A74" s="2" t="n"/>
      <c r="B74" s="3" t="n"/>
      <c r="C74" s="3" t="n"/>
      <c r="D74" s="4" t="n"/>
      <c r="E74" s="3" t="n"/>
      <c r="F74" s="5" t="n"/>
      <c r="G74" s="5" t="n"/>
      <c r="H74" s="6" t="n"/>
      <c r="I74" s="5" t="n"/>
      <c r="J74" s="5">
        <f>IF(OR(F74="",G74="",H74=""),"",IF(D74="做多",(G74-F74)*H74,(F74-G74)*H74)-I74)</f>
        <v/>
      </c>
      <c r="K74" s="7">
        <f>IFERROR(J74/(F74*H74),"")</f>
        <v/>
      </c>
      <c r="L74" s="4" t="n"/>
      <c r="M74" s="5" t="n"/>
      <c r="N74" s="5" t="n"/>
      <c r="O74" s="4" t="n"/>
      <c r="P74" s="3" t="n"/>
    </row>
    <row r="75">
      <c r="A75" s="2" t="n"/>
      <c r="B75" s="3" t="n"/>
      <c r="C75" s="3" t="n"/>
      <c r="D75" s="4" t="n"/>
      <c r="E75" s="3" t="n"/>
      <c r="F75" s="5" t="n"/>
      <c r="G75" s="5" t="n"/>
      <c r="H75" s="6" t="n"/>
      <c r="I75" s="5" t="n"/>
      <c r="J75" s="5">
        <f>IF(OR(F75="",G75="",H75=""),"",IF(D75="做多",(G75-F75)*H75,(F75-G75)*H75)-I75)</f>
        <v/>
      </c>
      <c r="K75" s="7">
        <f>IFERROR(J75/(F75*H75),"")</f>
        <v/>
      </c>
      <c r="L75" s="4" t="n"/>
      <c r="M75" s="5" t="n"/>
      <c r="N75" s="5" t="n"/>
      <c r="O75" s="4" t="n"/>
      <c r="P75" s="3" t="n"/>
    </row>
    <row r="76">
      <c r="A76" s="2" t="n"/>
      <c r="B76" s="3" t="n"/>
      <c r="C76" s="3" t="n"/>
      <c r="D76" s="4" t="n"/>
      <c r="E76" s="3" t="n"/>
      <c r="F76" s="5" t="n"/>
      <c r="G76" s="5" t="n"/>
      <c r="H76" s="6" t="n"/>
      <c r="I76" s="5" t="n"/>
      <c r="J76" s="5">
        <f>IF(OR(F76="",G76="",H76=""),"",IF(D76="做多",(G76-F76)*H76,(F76-G76)*H76)-I76)</f>
        <v/>
      </c>
      <c r="K76" s="7">
        <f>IFERROR(J76/(F76*H76),"")</f>
        <v/>
      </c>
      <c r="L76" s="4" t="n"/>
      <c r="M76" s="5" t="n"/>
      <c r="N76" s="5" t="n"/>
      <c r="O76" s="4" t="n"/>
      <c r="P76" s="3" t="n"/>
    </row>
    <row r="77">
      <c r="A77" s="2" t="n"/>
      <c r="B77" s="3" t="n"/>
      <c r="C77" s="3" t="n"/>
      <c r="D77" s="4" t="n"/>
      <c r="E77" s="3" t="n"/>
      <c r="F77" s="5" t="n"/>
      <c r="G77" s="5" t="n"/>
      <c r="H77" s="6" t="n"/>
      <c r="I77" s="5" t="n"/>
      <c r="J77" s="5">
        <f>IF(OR(F77="",G77="",H77=""),"",IF(D77="做多",(G77-F77)*H77,(F77-G77)*H77)-I77)</f>
        <v/>
      </c>
      <c r="K77" s="7">
        <f>IFERROR(J77/(F77*H77),"")</f>
        <v/>
      </c>
      <c r="L77" s="4" t="n"/>
      <c r="M77" s="5" t="n"/>
      <c r="N77" s="5" t="n"/>
      <c r="O77" s="4" t="n"/>
      <c r="P77" s="3" t="n"/>
    </row>
    <row r="78">
      <c r="A78" s="2" t="n"/>
      <c r="B78" s="3" t="n"/>
      <c r="C78" s="3" t="n"/>
      <c r="D78" s="4" t="n"/>
      <c r="E78" s="3" t="n"/>
      <c r="F78" s="5" t="n"/>
      <c r="G78" s="5" t="n"/>
      <c r="H78" s="6" t="n"/>
      <c r="I78" s="5" t="n"/>
      <c r="J78" s="5">
        <f>IF(OR(F78="",G78="",H78=""),"",IF(D78="做多",(G78-F78)*H78,(F78-G78)*H78)-I78)</f>
        <v/>
      </c>
      <c r="K78" s="7">
        <f>IFERROR(J78/(F78*H78),"")</f>
        <v/>
      </c>
      <c r="L78" s="4" t="n"/>
      <c r="M78" s="5" t="n"/>
      <c r="N78" s="5" t="n"/>
      <c r="O78" s="4" t="n"/>
      <c r="P78" s="3" t="n"/>
    </row>
    <row r="79">
      <c r="A79" s="2" t="n"/>
      <c r="B79" s="3" t="n"/>
      <c r="C79" s="3" t="n"/>
      <c r="D79" s="4" t="n"/>
      <c r="E79" s="3" t="n"/>
      <c r="F79" s="5" t="n"/>
      <c r="G79" s="5" t="n"/>
      <c r="H79" s="6" t="n"/>
      <c r="I79" s="5" t="n"/>
      <c r="J79" s="5">
        <f>IF(OR(F79="",G79="",H79=""),"",IF(D79="做多",(G79-F79)*H79,(F79-G79)*H79)-I79)</f>
        <v/>
      </c>
      <c r="K79" s="7">
        <f>IFERROR(J79/(F79*H79),"")</f>
        <v/>
      </c>
      <c r="L79" s="4" t="n"/>
      <c r="M79" s="5" t="n"/>
      <c r="N79" s="5" t="n"/>
      <c r="O79" s="4" t="n"/>
      <c r="P79" s="3" t="n"/>
    </row>
    <row r="80">
      <c r="A80" s="2" t="n"/>
      <c r="B80" s="3" t="n"/>
      <c r="C80" s="3" t="n"/>
      <c r="D80" s="4" t="n"/>
      <c r="E80" s="3" t="n"/>
      <c r="F80" s="5" t="n"/>
      <c r="G80" s="5" t="n"/>
      <c r="H80" s="6" t="n"/>
      <c r="I80" s="5" t="n"/>
      <c r="J80" s="5">
        <f>IF(OR(F80="",G80="",H80=""),"",IF(D80="做多",(G80-F80)*H80,(F80-G80)*H80)-I80)</f>
        <v/>
      </c>
      <c r="K80" s="7">
        <f>IFERROR(J80/(F80*H80),"")</f>
        <v/>
      </c>
      <c r="L80" s="4" t="n"/>
      <c r="M80" s="5" t="n"/>
      <c r="N80" s="5" t="n"/>
      <c r="O80" s="4" t="n"/>
      <c r="P80" s="3" t="n"/>
    </row>
    <row r="81">
      <c r="A81" s="2" t="n"/>
      <c r="B81" s="3" t="n"/>
      <c r="C81" s="3" t="n"/>
      <c r="D81" s="4" t="n"/>
      <c r="E81" s="3" t="n"/>
      <c r="F81" s="5" t="n"/>
      <c r="G81" s="5" t="n"/>
      <c r="H81" s="6" t="n"/>
      <c r="I81" s="5" t="n"/>
      <c r="J81" s="5">
        <f>IF(OR(F81="",G81="",H81=""),"",IF(D81="做多",(G81-F81)*H81,(F81-G81)*H81)-I81)</f>
        <v/>
      </c>
      <c r="K81" s="7">
        <f>IFERROR(J81/(F81*H81),"")</f>
        <v/>
      </c>
      <c r="L81" s="4" t="n"/>
      <c r="M81" s="5" t="n"/>
      <c r="N81" s="5" t="n"/>
      <c r="O81" s="4" t="n"/>
      <c r="P81" s="3" t="n"/>
    </row>
    <row r="82">
      <c r="A82" s="2" t="n"/>
      <c r="B82" s="3" t="n"/>
      <c r="C82" s="3" t="n"/>
      <c r="D82" s="4" t="n"/>
      <c r="E82" s="3" t="n"/>
      <c r="F82" s="5" t="n"/>
      <c r="G82" s="5" t="n"/>
      <c r="H82" s="6" t="n"/>
      <c r="I82" s="5" t="n"/>
      <c r="J82" s="5">
        <f>IF(OR(F82="",G82="",H82=""),"",IF(D82="做多",(G82-F82)*H82,(F82-G82)*H82)-I82)</f>
        <v/>
      </c>
      <c r="K82" s="7">
        <f>IFERROR(J82/(F82*H82),"")</f>
        <v/>
      </c>
      <c r="L82" s="4" t="n"/>
      <c r="M82" s="5" t="n"/>
      <c r="N82" s="5" t="n"/>
      <c r="O82" s="4" t="n"/>
      <c r="P82" s="3" t="n"/>
    </row>
    <row r="83">
      <c r="A83" s="2" t="n"/>
      <c r="B83" s="3" t="n"/>
      <c r="C83" s="3" t="n"/>
      <c r="D83" s="4" t="n"/>
      <c r="E83" s="3" t="n"/>
      <c r="F83" s="5" t="n"/>
      <c r="G83" s="5" t="n"/>
      <c r="H83" s="6" t="n"/>
      <c r="I83" s="5" t="n"/>
      <c r="J83" s="5">
        <f>IF(OR(F83="",G83="",H83=""),"",IF(D83="做多",(G83-F83)*H83,(F83-G83)*H83)-I83)</f>
        <v/>
      </c>
      <c r="K83" s="7">
        <f>IFERROR(J83/(F83*H83),"")</f>
        <v/>
      </c>
      <c r="L83" s="4" t="n"/>
      <c r="M83" s="5" t="n"/>
      <c r="N83" s="5" t="n"/>
      <c r="O83" s="4" t="n"/>
      <c r="P83" s="3" t="n"/>
    </row>
    <row r="84">
      <c r="A84" s="2" t="n"/>
      <c r="B84" s="3" t="n"/>
      <c r="C84" s="3" t="n"/>
      <c r="D84" s="4" t="n"/>
      <c r="E84" s="3" t="n"/>
      <c r="F84" s="5" t="n"/>
      <c r="G84" s="5" t="n"/>
      <c r="H84" s="6" t="n"/>
      <c r="I84" s="5" t="n"/>
      <c r="J84" s="5">
        <f>IF(OR(F84="",G84="",H84=""),"",IF(D84="做多",(G84-F84)*H84,(F84-G84)*H84)-I84)</f>
        <v/>
      </c>
      <c r="K84" s="7">
        <f>IFERROR(J84/(F84*H84),"")</f>
        <v/>
      </c>
      <c r="L84" s="4" t="n"/>
      <c r="M84" s="5" t="n"/>
      <c r="N84" s="5" t="n"/>
      <c r="O84" s="4" t="n"/>
      <c r="P84" s="3" t="n"/>
    </row>
    <row r="85">
      <c r="A85" s="2" t="n"/>
      <c r="B85" s="3" t="n"/>
      <c r="C85" s="3" t="n"/>
      <c r="D85" s="4" t="n"/>
      <c r="E85" s="3" t="n"/>
      <c r="F85" s="5" t="n"/>
      <c r="G85" s="5" t="n"/>
      <c r="H85" s="6" t="n"/>
      <c r="I85" s="5" t="n"/>
      <c r="J85" s="5">
        <f>IF(OR(F85="",G85="",H85=""),"",IF(D85="做多",(G85-F85)*H85,(F85-G85)*H85)-I85)</f>
        <v/>
      </c>
      <c r="K85" s="7">
        <f>IFERROR(J85/(F85*H85),"")</f>
        <v/>
      </c>
      <c r="L85" s="4" t="n"/>
      <c r="M85" s="5" t="n"/>
      <c r="N85" s="5" t="n"/>
      <c r="O85" s="4" t="n"/>
      <c r="P85" s="3" t="n"/>
    </row>
    <row r="86">
      <c r="A86" s="2" t="n"/>
      <c r="B86" s="3" t="n"/>
      <c r="C86" s="3" t="n"/>
      <c r="D86" s="4" t="n"/>
      <c r="E86" s="3" t="n"/>
      <c r="F86" s="5" t="n"/>
      <c r="G86" s="5" t="n"/>
      <c r="H86" s="6" t="n"/>
      <c r="I86" s="5" t="n"/>
      <c r="J86" s="5">
        <f>IF(OR(F86="",G86="",H86=""),"",IF(D86="做多",(G86-F86)*H86,(F86-G86)*H86)-I86)</f>
        <v/>
      </c>
      <c r="K86" s="7">
        <f>IFERROR(J86/(F86*H86),"")</f>
        <v/>
      </c>
      <c r="L86" s="4" t="n"/>
      <c r="M86" s="5" t="n"/>
      <c r="N86" s="5" t="n"/>
      <c r="O86" s="4" t="n"/>
      <c r="P86" s="3" t="n"/>
    </row>
    <row r="87">
      <c r="A87" s="2" t="n"/>
      <c r="B87" s="3" t="n"/>
      <c r="C87" s="3" t="n"/>
      <c r="D87" s="4" t="n"/>
      <c r="E87" s="3" t="n"/>
      <c r="F87" s="5" t="n"/>
      <c r="G87" s="5" t="n"/>
      <c r="H87" s="6" t="n"/>
      <c r="I87" s="5" t="n"/>
      <c r="J87" s="5">
        <f>IF(OR(F87="",G87="",H87=""),"",IF(D87="做多",(G87-F87)*H87,(F87-G87)*H87)-I87)</f>
        <v/>
      </c>
      <c r="K87" s="7">
        <f>IFERROR(J87/(F87*H87),"")</f>
        <v/>
      </c>
      <c r="L87" s="4" t="n"/>
      <c r="M87" s="5" t="n"/>
      <c r="N87" s="5" t="n"/>
      <c r="O87" s="4" t="n"/>
      <c r="P87" s="3" t="n"/>
    </row>
    <row r="88">
      <c r="A88" s="2" t="n"/>
      <c r="B88" s="3" t="n"/>
      <c r="C88" s="3" t="n"/>
      <c r="D88" s="4" t="n"/>
      <c r="E88" s="3" t="n"/>
      <c r="F88" s="5" t="n"/>
      <c r="G88" s="5" t="n"/>
      <c r="H88" s="6" t="n"/>
      <c r="I88" s="5" t="n"/>
      <c r="J88" s="5">
        <f>IF(OR(F88="",G88="",H88=""),"",IF(D88="做多",(G88-F88)*H88,(F88-G88)*H88)-I88)</f>
        <v/>
      </c>
      <c r="K88" s="7">
        <f>IFERROR(J88/(F88*H88),"")</f>
        <v/>
      </c>
      <c r="L88" s="4" t="n"/>
      <c r="M88" s="5" t="n"/>
      <c r="N88" s="5" t="n"/>
      <c r="O88" s="4" t="n"/>
      <c r="P88" s="3" t="n"/>
    </row>
    <row r="89">
      <c r="A89" s="2" t="n"/>
      <c r="B89" s="3" t="n"/>
      <c r="C89" s="3" t="n"/>
      <c r="D89" s="4" t="n"/>
      <c r="E89" s="3" t="n"/>
      <c r="F89" s="5" t="n"/>
      <c r="G89" s="5" t="n"/>
      <c r="H89" s="6" t="n"/>
      <c r="I89" s="5" t="n"/>
      <c r="J89" s="5">
        <f>IF(OR(F89="",G89="",H89=""),"",IF(D89="做多",(G89-F89)*H89,(F89-G89)*H89)-I89)</f>
        <v/>
      </c>
      <c r="K89" s="7">
        <f>IFERROR(J89/(F89*H89),"")</f>
        <v/>
      </c>
      <c r="L89" s="4" t="n"/>
      <c r="M89" s="5" t="n"/>
      <c r="N89" s="5" t="n"/>
      <c r="O89" s="4" t="n"/>
      <c r="P89" s="3" t="n"/>
    </row>
    <row r="90">
      <c r="A90" s="2" t="n"/>
      <c r="B90" s="3" t="n"/>
      <c r="C90" s="3" t="n"/>
      <c r="D90" s="4" t="n"/>
      <c r="E90" s="3" t="n"/>
      <c r="F90" s="5" t="n"/>
      <c r="G90" s="5" t="n"/>
      <c r="H90" s="6" t="n"/>
      <c r="I90" s="5" t="n"/>
      <c r="J90" s="5">
        <f>IF(OR(F90="",G90="",H90=""),"",IF(D90="做多",(G90-F90)*H90,(F90-G90)*H90)-I90)</f>
        <v/>
      </c>
      <c r="K90" s="7">
        <f>IFERROR(J90/(F90*H90),"")</f>
        <v/>
      </c>
      <c r="L90" s="4" t="n"/>
      <c r="M90" s="5" t="n"/>
      <c r="N90" s="5" t="n"/>
      <c r="O90" s="4" t="n"/>
      <c r="P90" s="3" t="n"/>
    </row>
    <row r="91">
      <c r="A91" s="2" t="n"/>
      <c r="B91" s="3" t="n"/>
      <c r="C91" s="3" t="n"/>
      <c r="D91" s="4" t="n"/>
      <c r="E91" s="3" t="n"/>
      <c r="F91" s="5" t="n"/>
      <c r="G91" s="5" t="n"/>
      <c r="H91" s="6" t="n"/>
      <c r="I91" s="5" t="n"/>
      <c r="J91" s="5">
        <f>IF(OR(F91="",G91="",H91=""),"",IF(D91="做多",(G91-F91)*H91,(F91-G91)*H91)-I91)</f>
        <v/>
      </c>
      <c r="K91" s="7">
        <f>IFERROR(J91/(F91*H91),"")</f>
        <v/>
      </c>
      <c r="L91" s="4" t="n"/>
      <c r="M91" s="5" t="n"/>
      <c r="N91" s="5" t="n"/>
      <c r="O91" s="4" t="n"/>
      <c r="P91" s="3" t="n"/>
    </row>
    <row r="92">
      <c r="A92" s="2" t="n"/>
      <c r="B92" s="3" t="n"/>
      <c r="C92" s="3" t="n"/>
      <c r="D92" s="4" t="n"/>
      <c r="E92" s="3" t="n"/>
      <c r="F92" s="5" t="n"/>
      <c r="G92" s="5" t="n"/>
      <c r="H92" s="6" t="n"/>
      <c r="I92" s="5" t="n"/>
      <c r="J92" s="5">
        <f>IF(OR(F92="",G92="",H92=""),"",IF(D92="做多",(G92-F92)*H92,(F92-G92)*H92)-I92)</f>
        <v/>
      </c>
      <c r="K92" s="7">
        <f>IFERROR(J92/(F92*H92),"")</f>
        <v/>
      </c>
      <c r="L92" s="4" t="n"/>
      <c r="M92" s="5" t="n"/>
      <c r="N92" s="5" t="n"/>
      <c r="O92" s="4" t="n"/>
      <c r="P92" s="3" t="n"/>
    </row>
    <row r="93">
      <c r="A93" s="2" t="n"/>
      <c r="B93" s="3" t="n"/>
      <c r="C93" s="3" t="n"/>
      <c r="D93" s="4" t="n"/>
      <c r="E93" s="3" t="n"/>
      <c r="F93" s="5" t="n"/>
      <c r="G93" s="5" t="n"/>
      <c r="H93" s="6" t="n"/>
      <c r="I93" s="5" t="n"/>
      <c r="J93" s="5">
        <f>IF(OR(F93="",G93="",H93=""),"",IF(D93="做多",(G93-F93)*H93,(F93-G93)*H93)-I93)</f>
        <v/>
      </c>
      <c r="K93" s="7">
        <f>IFERROR(J93/(F93*H93),"")</f>
        <v/>
      </c>
      <c r="L93" s="4" t="n"/>
      <c r="M93" s="5" t="n"/>
      <c r="N93" s="5" t="n"/>
      <c r="O93" s="4" t="n"/>
      <c r="P93" s="3" t="n"/>
    </row>
    <row r="94">
      <c r="A94" s="2" t="n"/>
      <c r="B94" s="3" t="n"/>
      <c r="C94" s="3" t="n"/>
      <c r="D94" s="4" t="n"/>
      <c r="E94" s="3" t="n"/>
      <c r="F94" s="5" t="n"/>
      <c r="G94" s="5" t="n"/>
      <c r="H94" s="6" t="n"/>
      <c r="I94" s="5" t="n"/>
      <c r="J94" s="5">
        <f>IF(OR(F94="",G94="",H94=""),"",IF(D94="做多",(G94-F94)*H94,(F94-G94)*H94)-I94)</f>
        <v/>
      </c>
      <c r="K94" s="7">
        <f>IFERROR(J94/(F94*H94),"")</f>
        <v/>
      </c>
      <c r="L94" s="4" t="n"/>
      <c r="M94" s="5" t="n"/>
      <c r="N94" s="5" t="n"/>
      <c r="O94" s="4" t="n"/>
      <c r="P94" s="3" t="n"/>
    </row>
    <row r="95">
      <c r="A95" s="2" t="n"/>
      <c r="B95" s="3" t="n"/>
      <c r="C95" s="3" t="n"/>
      <c r="D95" s="4" t="n"/>
      <c r="E95" s="3" t="n"/>
      <c r="F95" s="5" t="n"/>
      <c r="G95" s="5" t="n"/>
      <c r="H95" s="6" t="n"/>
      <c r="I95" s="5" t="n"/>
      <c r="J95" s="5">
        <f>IF(OR(F95="",G95="",H95=""),"",IF(D95="做多",(G95-F95)*H95,(F95-G95)*H95)-I95)</f>
        <v/>
      </c>
      <c r="K95" s="7">
        <f>IFERROR(J95/(F95*H95),"")</f>
        <v/>
      </c>
      <c r="L95" s="4" t="n"/>
      <c r="M95" s="5" t="n"/>
      <c r="N95" s="5" t="n"/>
      <c r="O95" s="4" t="n"/>
      <c r="P95" s="3" t="n"/>
    </row>
    <row r="96">
      <c r="A96" s="2" t="n"/>
      <c r="B96" s="3" t="n"/>
      <c r="C96" s="3" t="n"/>
      <c r="D96" s="4" t="n"/>
      <c r="E96" s="3" t="n"/>
      <c r="F96" s="5" t="n"/>
      <c r="G96" s="5" t="n"/>
      <c r="H96" s="6" t="n"/>
      <c r="I96" s="5" t="n"/>
      <c r="J96" s="5">
        <f>IF(OR(F96="",G96="",H96=""),"",IF(D96="做多",(G96-F96)*H96,(F96-G96)*H96)-I96)</f>
        <v/>
      </c>
      <c r="K96" s="7">
        <f>IFERROR(J96/(F96*H96),"")</f>
        <v/>
      </c>
      <c r="L96" s="4" t="n"/>
      <c r="M96" s="5" t="n"/>
      <c r="N96" s="5" t="n"/>
      <c r="O96" s="4" t="n"/>
      <c r="P96" s="3" t="n"/>
    </row>
    <row r="97">
      <c r="A97" s="2" t="n"/>
      <c r="B97" s="3" t="n"/>
      <c r="C97" s="3" t="n"/>
      <c r="D97" s="4" t="n"/>
      <c r="E97" s="3" t="n"/>
      <c r="F97" s="5" t="n"/>
      <c r="G97" s="5" t="n"/>
      <c r="H97" s="6" t="n"/>
      <c r="I97" s="5" t="n"/>
      <c r="J97" s="5">
        <f>IF(OR(F97="",G97="",H97=""),"",IF(D97="做多",(G97-F97)*H97,(F97-G97)*H97)-I97)</f>
        <v/>
      </c>
      <c r="K97" s="7">
        <f>IFERROR(J97/(F97*H97),"")</f>
        <v/>
      </c>
      <c r="L97" s="4" t="n"/>
      <c r="M97" s="5" t="n"/>
      <c r="N97" s="5" t="n"/>
      <c r="O97" s="4" t="n"/>
      <c r="P97" s="3" t="n"/>
    </row>
    <row r="98">
      <c r="A98" s="2" t="n"/>
      <c r="B98" s="3" t="n"/>
      <c r="C98" s="3" t="n"/>
      <c r="D98" s="4" t="n"/>
      <c r="E98" s="3" t="n"/>
      <c r="F98" s="5" t="n"/>
      <c r="G98" s="5" t="n"/>
      <c r="H98" s="6" t="n"/>
      <c r="I98" s="5" t="n"/>
      <c r="J98" s="5">
        <f>IF(OR(F98="",G98="",H98=""),"",IF(D98="做多",(G98-F98)*H98,(F98-G98)*H98)-I98)</f>
        <v/>
      </c>
      <c r="K98" s="7">
        <f>IFERROR(J98/(F98*H98),"")</f>
        <v/>
      </c>
      <c r="L98" s="4" t="n"/>
      <c r="M98" s="5" t="n"/>
      <c r="N98" s="5" t="n"/>
      <c r="O98" s="4" t="n"/>
      <c r="P98" s="3" t="n"/>
    </row>
    <row r="99">
      <c r="A99" s="2" t="n"/>
      <c r="B99" s="3" t="n"/>
      <c r="C99" s="3" t="n"/>
      <c r="D99" s="4" t="n"/>
      <c r="E99" s="3" t="n"/>
      <c r="F99" s="5" t="n"/>
      <c r="G99" s="5" t="n"/>
      <c r="H99" s="6" t="n"/>
      <c r="I99" s="5" t="n"/>
      <c r="J99" s="5">
        <f>IF(OR(F99="",G99="",H99=""),"",IF(D99="做多",(G99-F99)*H99,(F99-G99)*H99)-I99)</f>
        <v/>
      </c>
      <c r="K99" s="7">
        <f>IFERROR(J99/(F99*H99),"")</f>
        <v/>
      </c>
      <c r="L99" s="4" t="n"/>
      <c r="M99" s="5" t="n"/>
      <c r="N99" s="5" t="n"/>
      <c r="O99" s="4" t="n"/>
      <c r="P99" s="3" t="n"/>
    </row>
    <row r="100">
      <c r="A100" s="2" t="n"/>
      <c r="B100" s="3" t="n"/>
      <c r="C100" s="3" t="n"/>
      <c r="D100" s="4" t="n"/>
      <c r="E100" s="3" t="n"/>
      <c r="F100" s="5" t="n"/>
      <c r="G100" s="5" t="n"/>
      <c r="H100" s="6" t="n"/>
      <c r="I100" s="5" t="n"/>
      <c r="J100" s="5">
        <f>IF(OR(F100="",G100="",H100=""),"",IF(D100="做多",(G100-F100)*H100,(F100-G100)*H100)-I100)</f>
        <v/>
      </c>
      <c r="K100" s="7">
        <f>IFERROR(J100/(F100*H100),"")</f>
        <v/>
      </c>
      <c r="L100" s="4" t="n"/>
      <c r="M100" s="5" t="n"/>
      <c r="N100" s="5" t="n"/>
      <c r="O100" s="4" t="n"/>
      <c r="P100" s="3" t="n"/>
    </row>
    <row r="101">
      <c r="A101" s="2" t="n"/>
      <c r="B101" s="3" t="n"/>
      <c r="C101" s="3" t="n"/>
      <c r="D101" s="4" t="n"/>
      <c r="E101" s="3" t="n"/>
      <c r="F101" s="5" t="n"/>
      <c r="G101" s="5" t="n"/>
      <c r="H101" s="6" t="n"/>
      <c r="I101" s="5" t="n"/>
      <c r="J101" s="5">
        <f>IF(OR(F101="",G101="",H101=""),"",IF(D101="做多",(G101-F101)*H101,(F101-G101)*H101)-I101)</f>
        <v/>
      </c>
      <c r="K101" s="7">
        <f>IFERROR(J101/(F101*H101),"")</f>
        <v/>
      </c>
      <c r="L101" s="4" t="n"/>
      <c r="M101" s="5" t="n"/>
      <c r="N101" s="5" t="n"/>
      <c r="O101" s="4" t="n"/>
      <c r="P101" s="3" t="n"/>
    </row>
  </sheetData>
  <autoFilter ref="A1:P101"/>
  <dataValidations count="2">
    <dataValidation sqref="D2:D101" showDropDown="0" showInputMessage="0" showErrorMessage="0" allowBlank="1" type="list">
      <formula1>"做多,做空"</formula1>
    </dataValidation>
    <dataValidation sqref="O2:O101" showDropDown="0" showInputMessage="0" showErrorMessage="0" allowBlank="1" type="list">
      <formula1>"冷静,焦虑,FOMO,报复,犹豫"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8" t="inlineStr">
        <is>
          <t>交易表现汇总</t>
        </is>
      </c>
    </row>
    <row r="2">
      <c r="A2" s="9" t="inlineStr">
        <is>
          <t>自动统计“交易记录”工作表，新增记录后会自动更新。</t>
        </is>
      </c>
    </row>
    <row r="3">
      <c r="A3" s="10" t="inlineStr">
        <is>
          <t>总交易笔数</t>
        </is>
      </c>
      <c r="B3" s="4">
        <f>COUNTA('交易记录'!A2:A101)</f>
        <v/>
      </c>
    </row>
    <row r="4">
      <c r="A4" s="10" t="inlineStr">
        <is>
          <t>盈利笔数</t>
        </is>
      </c>
      <c r="B4" s="4">
        <f>COUNTIF('交易记录'!J2:J101,"&gt;0")</f>
        <v/>
      </c>
    </row>
    <row r="5">
      <c r="A5" s="10" t="inlineStr">
        <is>
          <t>亏损笔数</t>
        </is>
      </c>
      <c r="B5" s="7">
        <f>COUNTIF('交易记录'!J2:J101,"&lt;0")</f>
        <v/>
      </c>
    </row>
    <row r="6">
      <c r="A6" s="10" t="inlineStr">
        <is>
          <t>胜率</t>
        </is>
      </c>
      <c r="B6" s="4">
        <f>IFERROR(B4/B3,0)</f>
        <v/>
      </c>
    </row>
    <row r="7">
      <c r="A7" s="10" t="inlineStr">
        <is>
          <t>总盈亏 (USDT)</t>
        </is>
      </c>
      <c r="B7" s="5">
        <f>SUM('交易记录'!J2:J101)</f>
        <v/>
      </c>
    </row>
    <row r="8">
      <c r="A8" s="10" t="inlineStr">
        <is>
          <t>平均盈利</t>
        </is>
      </c>
      <c r="B8" s="5">
        <f>IFERROR(AVERAGEIF('交易记录'!J2:J101,"&gt;0"),0)</f>
        <v/>
      </c>
    </row>
    <row r="9">
      <c r="A9" s="10" t="inlineStr">
        <is>
          <t>平均亏损</t>
        </is>
      </c>
      <c r="B9" s="5">
        <f>IFERROR(AVERAGEIF('交易记录'!J2:J101,"&lt;0"),0)</f>
        <v/>
      </c>
    </row>
    <row r="10">
      <c r="A10" s="10" t="inlineStr">
        <is>
          <t>盈亏比</t>
        </is>
      </c>
      <c r="B10" s="11">
        <f>IFERROR(ABS(B8/B9),0)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交易记录模板 · 使用说明</t>
        </is>
      </c>
    </row>
    <row r="2">
      <c r="A2" s="9" t="inlineStr">
        <is>
          <t>最后更新：2026-10-22 · 币圈指南</t>
        </is>
      </c>
    </row>
    <row r="4" ht="22" customHeight="1">
      <c r="A4" s="12" t="inlineStr">
        <is>
          <t>1. 在“交易记录”表填写日期、交易所、交易对、方向、入场/出场价、数量、手续费。</t>
        </is>
      </c>
    </row>
    <row r="5" ht="22" customHeight="1">
      <c r="A5" s="12" t="inlineStr">
        <is>
          <t>2. “已实现盈亏”和“收益率”会自动计算；做多用（出场-入场）×数量，做空相反。</t>
        </is>
      </c>
    </row>
    <row r="6" ht="22" customHeight="1">
      <c r="A6" s="12" t="inlineStr">
        <is>
          <t>3. 手续费请填绝对值（例如 3.2 USDT），不要填百分比。</t>
        </is>
      </c>
    </row>
    <row r="7" ht="22" customHeight="1">
      <c r="A7" s="12" t="inlineStr">
        <is>
          <t>4. “汇总”表自动统计总笔数、胜率、总盈亏、平均盈亏和盈亏比。</t>
        </is>
      </c>
    </row>
    <row r="8" ht="22" customHeight="1">
      <c r="A8" s="12" t="inlineStr">
        <is>
          <t>5. 建议每笔交易都记录“情绪”和“备注”，复盘时比只看盈亏更有价值。</t>
        </is>
      </c>
    </row>
    <row r="9" ht="22" customHeight="1">
      <c r="A9" s="12" t="inlineStr">
        <is>
          <t>6. 只记录真实成交；不要把未成交计划单算进去。</t>
        </is>
      </c>
    </row>
    <row r="11">
      <c r="A11" s="13" t="inlineStr">
        <is>
          <t>风险提示：模板仅用于记录与计算，不构成投资建议。加密资产价格波动较大，请自行承担风险。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2026-10-21T19:21:25Z</dcterms:created>
  <dcterms:modified xmlns:dcterms="http://purl.org/dc/terms/" xmlns:xsi="http://www.w3.org/2001/XMLSchema-instance" xsi:type="dcterms:W3CDTF">2026-10-21T19:21:25Z</dcterms:modified>
</cp:coreProperties>
</file>