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位计算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x"/>
    <numFmt numFmtId="165" formatCode="#,##0.0000"/>
  </numFmts>
  <fonts count="8">
    <font>
      <name val="Calibri"/>
      <family val="2"/>
      <color theme="1"/>
      <sz val="11"/>
      <scheme val="minor"/>
    </font>
    <font>
      <name val="Microsoft YaHei"/>
      <b val="1"/>
      <color rgb="001F2937"/>
      <sz val="16"/>
    </font>
    <font>
      <name val="Microsoft YaHei"/>
      <color rgb="006B7280"/>
      <sz val="9"/>
    </font>
    <font>
      <name val="Microsoft YaHei"/>
      <sz val="10"/>
    </font>
    <font>
      <name val="Microsoft YaHei"/>
      <b val="1"/>
      <color rgb="0092400E"/>
      <sz val="11"/>
    </font>
    <font>
      <name val="Microsoft YaHei"/>
      <b val="1"/>
      <color rgb="001F2937"/>
      <sz val="12"/>
    </font>
    <font>
      <name val="Microsoft YaHei"/>
      <b val="1"/>
      <color rgb="00B45309"/>
      <sz val="11"/>
    </font>
    <font>
      <name val="Microsoft YaHei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7F3E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仓位管理计算器</t>
        </is>
      </c>
    </row>
    <row r="2">
      <c r="A2" s="2" t="inlineStr">
        <is>
          <t>先定止损，再算仓位。输入黄色单元格，其余自动计算。</t>
        </is>
      </c>
    </row>
    <row r="4" ht="26" customHeight="1">
      <c r="A4" s="3" t="inlineStr">
        <is>
          <t>账户总资金 (USDT)</t>
        </is>
      </c>
      <c r="B4" s="4" t="n">
        <v>10000</v>
      </c>
    </row>
    <row r="5" ht="26" customHeight="1">
      <c r="A5" s="3" t="inlineStr">
        <is>
          <t>单笔风险比例</t>
        </is>
      </c>
      <c r="B5" s="5" t="n">
        <v>0.01</v>
      </c>
    </row>
    <row r="6" ht="26" customHeight="1">
      <c r="A6" s="3" t="inlineStr">
        <is>
          <t>入场价</t>
        </is>
      </c>
      <c r="B6" s="4" t="n">
        <v>60000</v>
      </c>
    </row>
    <row r="7" ht="26" customHeight="1">
      <c r="A7" s="3" t="inlineStr">
        <is>
          <t>止损价</t>
        </is>
      </c>
      <c r="B7" s="4" t="n">
        <v>57000</v>
      </c>
    </row>
    <row r="8" ht="26" customHeight="1">
      <c r="A8" s="3" t="inlineStr">
        <is>
          <t>杠杆倍数</t>
        </is>
      </c>
      <c r="B8" s="6" t="n">
        <v>3</v>
      </c>
    </row>
    <row r="9" ht="26" customHeight="1">
      <c r="A9" s="3" t="inlineStr">
        <is>
          <t>风险金额 (USDT)</t>
        </is>
      </c>
      <c r="B9" s="7">
        <f>B4*B5</f>
        <v/>
      </c>
    </row>
    <row r="10" ht="26" customHeight="1">
      <c r="A10" s="3" t="inlineStr">
        <is>
          <t>每单位风险</t>
        </is>
      </c>
      <c r="B10" s="7">
        <f>ABS(B6-B7)</f>
        <v/>
      </c>
    </row>
    <row r="11" ht="26" customHeight="1">
      <c r="A11" s="3" t="inlineStr">
        <is>
          <t>按风险计算的仓位数量</t>
        </is>
      </c>
      <c r="B11" s="8">
        <f>IFERROR(B9/B10,0)</f>
        <v/>
      </c>
    </row>
    <row r="12" ht="26" customHeight="1">
      <c r="A12" s="3" t="inlineStr">
        <is>
          <t>仓位名义价值 (USDT)</t>
        </is>
      </c>
      <c r="B12" s="7">
        <f>B11*B6</f>
        <v/>
      </c>
    </row>
    <row r="13" ht="26" customHeight="1">
      <c r="A13" s="3" t="inlineStr">
        <is>
          <t>所需保证金 (USDT)</t>
        </is>
      </c>
      <c r="B13" s="7">
        <f>IFERROR(B12/B8,0)</f>
        <v/>
      </c>
    </row>
    <row r="14" ht="26" customHeight="1">
      <c r="A14" s="3" t="inlineStr">
        <is>
          <t>保证金占账户比例</t>
        </is>
      </c>
      <c r="B14" s="9">
        <f>IFERROR(B13/B4,0)</f>
        <v/>
      </c>
    </row>
    <row r="15" ht="26" customHeight="1"/>
    <row r="16" ht="26" customHeight="1">
      <c r="A16" s="10" t="inlineStr">
        <is>
          <t>风险检查</t>
        </is>
      </c>
    </row>
    <row r="17" ht="26" customHeight="1">
      <c r="A17" s="11" t="inlineStr">
        <is>
          <t>保证金是否超过账户资金？</t>
        </is>
      </c>
      <c r="B17" s="12">
        <f>IF(B13&gt;B4,"⚠ 仓位过大","✅ 在账户范围内")</f>
        <v/>
      </c>
    </row>
    <row r="18" ht="26" customHeight="1">
      <c r="A18" s="11" t="inlineStr">
        <is>
          <t>止损时预计亏损</t>
        </is>
      </c>
      <c r="B18" s="13">
        <f>B9</f>
        <v/>
      </c>
    </row>
    <row r="19">
      <c r="A19" s="11" t="inlineStr">
        <is>
          <t>说明</t>
        </is>
      </c>
      <c r="B19" s="14" t="inlineStr">
        <is>
          <t>仓位数量 = 风险金额 ÷ 每单位风险；所需保证金 = 名义价值 ÷ 杠杆。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仓位管理模板 · 使用说明</t>
        </is>
      </c>
    </row>
    <row r="2">
      <c r="A2" s="2" t="inlineStr">
        <is>
          <t>最后更新：2026-10-22 · 币圈指南</t>
        </is>
      </c>
    </row>
    <row r="4" ht="22" customHeight="1">
      <c r="A4" s="15" t="inlineStr">
        <is>
          <t>1. 先填账户总资金、单笔风险比例（新手建议 0.5%–1%）。</t>
        </is>
      </c>
    </row>
    <row r="5" ht="22" customHeight="1">
      <c r="A5" s="15" t="inlineStr">
        <is>
          <t>2. 填入场价和止损价；止损必须基于图表结构，而不是“能亏多少”。</t>
        </is>
      </c>
    </row>
    <row r="6" ht="22" customHeight="1">
      <c r="A6" s="15" t="inlineStr">
        <is>
          <t>3. 填杠杆倍数；现货可填 1。</t>
        </is>
      </c>
    </row>
    <row r="7" ht="22" customHeight="1">
      <c r="A7" s="15" t="inlineStr">
        <is>
          <t>4. 黄色单元格是输入项，其余单元格自动计算仓位数量和保证金。</t>
        </is>
      </c>
    </row>
    <row r="8" ht="22" customHeight="1">
      <c r="A8" s="15" t="inlineStr">
        <is>
          <t>5. 如果“风险检查”显示仓位过大，降低数量或提高止损距离，不要加大杠杆硬扛。</t>
        </is>
      </c>
    </row>
    <row r="9" ht="22" customHeight="1">
      <c r="A9" s="15" t="inlineStr">
        <is>
          <t>6. 本表按线性合约估算，未计入资金费率、滑点和强平规则；实际下单前请用交易所计算器复核。</t>
        </is>
      </c>
    </row>
    <row r="11">
      <c r="A11" s="16" t="inlineStr">
        <is>
          <t>风险提示：模板仅用于记录与计算，不构成投资建议。加密资产价格波动较大，请自行承担风险。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2026-10-21T19:21:25Z</dcterms:created>
  <dcterms:modified xmlns:dcterms="http://purl.org/dc/terms/" xmlns:xsi="http://www.w3.org/2001/XMLSchema-instance" xsi:type="dcterms:W3CDTF">2026-10-21T19:21:25Z</dcterms:modified>
</cp:coreProperties>
</file>